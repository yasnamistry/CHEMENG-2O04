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Teaching\ChE 2O04 Winter 2026\Lecture notes\"/>
    </mc:Choice>
  </mc:AlternateContent>
  <xr:revisionPtr revIDLastSave="0" documentId="8_{D2EA5182-EDA8-4A37-834C-CE1E88A176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6" i="1" l="1"/>
  <c r="J25" i="1"/>
  <c r="J24" i="1"/>
  <c r="J23" i="1"/>
  <c r="J22" i="1"/>
  <c r="J21" i="1"/>
  <c r="J20" i="1"/>
  <c r="I20" i="1"/>
  <c r="K19" i="1"/>
  <c r="J19" i="1"/>
  <c r="I19" i="1"/>
  <c r="K18" i="1"/>
  <c r="J18" i="1"/>
  <c r="C18" i="1"/>
  <c r="D18" i="1"/>
  <c r="J3" i="1"/>
  <c r="J4" i="1" s="1"/>
  <c r="J6" i="1" s="1"/>
  <c r="J7" i="1" l="1"/>
  <c r="K20" i="1" s="1"/>
  <c r="C3" i="1"/>
  <c r="C4" i="1" s="1"/>
  <c r="C7" i="1" s="1"/>
  <c r="I21" i="1" l="1"/>
  <c r="K21" i="1" s="1"/>
  <c r="C6" i="1"/>
  <c r="I22" i="1" l="1"/>
  <c r="K22" i="1" s="1"/>
  <c r="I23" i="1" l="1"/>
  <c r="K23" i="1" s="1"/>
  <c r="I24" i="1" l="1"/>
  <c r="K24" i="1" s="1"/>
  <c r="I25" i="1" l="1"/>
  <c r="K25" i="1" s="1"/>
  <c r="I26" i="1" l="1"/>
  <c r="K26" i="1" s="1"/>
</calcChain>
</file>

<file path=xl/sharedStrings.xml><?xml version="1.0" encoding="utf-8"?>
<sst xmlns="http://schemas.openxmlformats.org/spreadsheetml/2006/main" count="54" uniqueCount="22">
  <si>
    <t>D</t>
  </si>
  <si>
    <t>cm</t>
  </si>
  <si>
    <t>m</t>
  </si>
  <si>
    <t>R</t>
  </si>
  <si>
    <t>density of water</t>
  </si>
  <si>
    <t>density of sphere</t>
  </si>
  <si>
    <t>gravity</t>
  </si>
  <si>
    <t>sphere volume</t>
  </si>
  <si>
    <t>sphere projected area</t>
  </si>
  <si>
    <t>Cd</t>
  </si>
  <si>
    <t>Guess</t>
  </si>
  <si>
    <t>Velocity</t>
  </si>
  <si>
    <t>Re</t>
  </si>
  <si>
    <t>OK</t>
  </si>
  <si>
    <t>m^3</t>
  </si>
  <si>
    <t>m^2</t>
  </si>
  <si>
    <t>kg/m^3</t>
  </si>
  <si>
    <t>m/s^2</t>
  </si>
  <si>
    <t>viscosity of water</t>
  </si>
  <si>
    <t>Pa*s</t>
  </si>
  <si>
    <t>(m/s)</t>
  </si>
  <si>
    <t>Calculate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</si>
</sst>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2" fontId="0" fillId="0" borderId="0" xfId="0" applyNumberFormat="1"/>
    <xf numFmtId="164" fontId="0" fillId="0" borderId="0" xfId="0" applyNumberFormat="1"/>
    <xf numFmtId="0" fontId="0" fillId="3" borderId="0" xfId="0" applyFill="1"/>
    <xf numFmtId="11" fontId="0" fillId="0" borderId="0" xfId="0" applyNumberFormat="1"/>
    <xf numFmtId="11" fontId="0" fillId="3" borderId="0" xfId="0" applyNumberFormat="1" applyFill="1"/>
    <xf numFmtId="165" fontId="0" fillId="0" borderId="0" xfId="0" applyNumberFormat="1"/>
    <xf numFmtId="1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2"/>
  <sheetViews>
    <sheetView tabSelected="1" zoomScale="115" zoomScaleNormal="115" workbookViewId="0">
      <selection activeCell="L27" sqref="L27"/>
    </sheetView>
  </sheetViews>
  <sheetFormatPr defaultRowHeight="14.4" x14ac:dyDescent="0.3"/>
  <cols>
    <col min="1" max="1" width="5.77734375" bestFit="1" customWidth="1"/>
    <col min="2" max="2" width="19.21875" bestFit="1" customWidth="1"/>
    <col min="3" max="3" width="13.109375" bestFit="1" customWidth="1"/>
    <col min="4" max="4" width="11.77734375" bestFit="1" customWidth="1"/>
    <col min="5" max="5" width="3.21875" bestFit="1" customWidth="1"/>
    <col min="6" max="6" width="8.77734375" style="4"/>
    <col min="8" max="8" width="8.33203125" bestFit="1" customWidth="1"/>
    <col min="9" max="9" width="19.21875" bestFit="1" customWidth="1"/>
    <col min="10" max="10" width="13.109375" bestFit="1" customWidth="1"/>
    <col min="11" max="11" width="11.77734375" bestFit="1" customWidth="1"/>
  </cols>
  <sheetData>
    <row r="2" spans="2:11" x14ac:dyDescent="0.3">
      <c r="B2" s="1" t="s">
        <v>0</v>
      </c>
      <c r="C2" s="1">
        <v>1.5</v>
      </c>
      <c r="D2" s="1" t="s">
        <v>1</v>
      </c>
      <c r="I2" s="1" t="s">
        <v>0</v>
      </c>
      <c r="J2" s="1">
        <v>1.4999999999999999E-2</v>
      </c>
      <c r="K2" s="1" t="s">
        <v>1</v>
      </c>
    </row>
    <row r="3" spans="2:11" x14ac:dyDescent="0.3">
      <c r="C3">
        <f>C2/100</f>
        <v>1.4999999999999999E-2</v>
      </c>
      <c r="D3" t="s">
        <v>2</v>
      </c>
      <c r="J3">
        <f>J2/100</f>
        <v>1.4999999999999999E-4</v>
      </c>
      <c r="K3" t="s">
        <v>2</v>
      </c>
    </row>
    <row r="4" spans="2:11" x14ac:dyDescent="0.3">
      <c r="B4" t="s">
        <v>3</v>
      </c>
      <c r="C4">
        <f>C3/2</f>
        <v>7.4999999999999997E-3</v>
      </c>
      <c r="D4" t="s">
        <v>2</v>
      </c>
      <c r="I4" t="s">
        <v>3</v>
      </c>
      <c r="J4">
        <f>J3/2</f>
        <v>7.4999999999999993E-5</v>
      </c>
      <c r="K4" t="s">
        <v>2</v>
      </c>
    </row>
    <row r="6" spans="2:11" x14ac:dyDescent="0.3">
      <c r="B6" t="s">
        <v>7</v>
      </c>
      <c r="C6" s="5">
        <f>4/3*PI()*C4^3</f>
        <v>1.7671458676442584E-6</v>
      </c>
      <c r="D6" s="5" t="s">
        <v>14</v>
      </c>
      <c r="E6" s="5"/>
      <c r="F6" s="6"/>
      <c r="G6" s="5"/>
      <c r="H6" s="5"/>
      <c r="I6" s="5" t="s">
        <v>7</v>
      </c>
      <c r="J6" s="5">
        <f>4/3*PI()*J4^3</f>
        <v>1.7671458676442581E-12</v>
      </c>
      <c r="K6" t="s">
        <v>14</v>
      </c>
    </row>
    <row r="7" spans="2:11" x14ac:dyDescent="0.3">
      <c r="B7" t="s">
        <v>8</v>
      </c>
      <c r="C7" s="5">
        <f>PI()*C4^2</f>
        <v>1.7671458676442585E-4</v>
      </c>
      <c r="D7" s="5" t="s">
        <v>15</v>
      </c>
      <c r="E7" s="5"/>
      <c r="F7" s="6"/>
      <c r="G7" s="5"/>
      <c r="H7" s="5"/>
      <c r="I7" s="5" t="s">
        <v>8</v>
      </c>
      <c r="J7" s="5">
        <f>PI()*J4^2</f>
        <v>1.7671458676442583E-8</v>
      </c>
      <c r="K7" t="s">
        <v>15</v>
      </c>
    </row>
    <row r="9" spans="2:11" x14ac:dyDescent="0.3">
      <c r="B9" t="s">
        <v>4</v>
      </c>
      <c r="C9">
        <v>997</v>
      </c>
      <c r="D9" t="s">
        <v>16</v>
      </c>
      <c r="I9" t="s">
        <v>4</v>
      </c>
      <c r="J9">
        <v>997</v>
      </c>
      <c r="K9" t="s">
        <v>16</v>
      </c>
    </row>
    <row r="10" spans="2:11" x14ac:dyDescent="0.3">
      <c r="B10" t="s">
        <v>18</v>
      </c>
      <c r="C10">
        <v>8.8999999999999995E-4</v>
      </c>
      <c r="D10" t="s">
        <v>19</v>
      </c>
      <c r="I10" t="s">
        <v>18</v>
      </c>
      <c r="J10">
        <v>8.8999999999999995E-4</v>
      </c>
      <c r="K10" t="s">
        <v>19</v>
      </c>
    </row>
    <row r="11" spans="2:11" x14ac:dyDescent="0.3">
      <c r="B11" s="1" t="s">
        <v>5</v>
      </c>
      <c r="C11" s="1">
        <v>2600</v>
      </c>
      <c r="D11" s="1" t="s">
        <v>16</v>
      </c>
      <c r="I11" s="1" t="s">
        <v>5</v>
      </c>
      <c r="J11" s="1">
        <v>1100</v>
      </c>
      <c r="K11" s="1" t="s">
        <v>16</v>
      </c>
    </row>
    <row r="13" spans="2:11" x14ac:dyDescent="0.3">
      <c r="B13" t="s">
        <v>6</v>
      </c>
      <c r="C13">
        <v>9.81</v>
      </c>
      <c r="D13" t="s">
        <v>17</v>
      </c>
      <c r="I13" t="s">
        <v>6</v>
      </c>
      <c r="J13">
        <v>9.81</v>
      </c>
      <c r="K13" t="s">
        <v>17</v>
      </c>
    </row>
    <row r="16" spans="2:11" x14ac:dyDescent="0.3">
      <c r="B16" t="s">
        <v>9</v>
      </c>
      <c r="C16" t="s">
        <v>11</v>
      </c>
      <c r="D16" t="s">
        <v>12</v>
      </c>
      <c r="I16" t="s">
        <v>9</v>
      </c>
      <c r="J16" t="s">
        <v>11</v>
      </c>
      <c r="K16" t="s">
        <v>12</v>
      </c>
    </row>
    <row r="17" spans="1:12" x14ac:dyDescent="0.3">
      <c r="C17" t="s">
        <v>20</v>
      </c>
      <c r="J17" t="s">
        <v>20</v>
      </c>
    </row>
    <row r="18" spans="1:12" x14ac:dyDescent="0.3">
      <c r="A18" t="s">
        <v>10</v>
      </c>
      <c r="B18">
        <v>0.44500000000000001</v>
      </c>
      <c r="C18" s="7">
        <f>SQRT(4*(C11-C9)*C13*C3/(3*B18*C9))</f>
        <v>0.84195460777947395</v>
      </c>
      <c r="D18" s="8">
        <f>C9*C18*C3/C10</f>
        <v>14147.67545993487</v>
      </c>
      <c r="E18" t="s">
        <v>13</v>
      </c>
      <c r="H18" t="s">
        <v>10</v>
      </c>
      <c r="I18">
        <v>0.44500000000000001</v>
      </c>
      <c r="J18" s="3">
        <f t="shared" ref="J18:J26" si="0">SQRT(4*(J$11-J$9)*J$13*J$3/(3*I18*J$9))</f>
        <v>2.1342266038441093E-2</v>
      </c>
      <c r="K18" s="7">
        <f>$J$9*J18*$J$3/$J$10</f>
        <v>3.5862200966841185</v>
      </c>
    </row>
    <row r="19" spans="1:12" x14ac:dyDescent="0.3">
      <c r="H19" t="s">
        <v>21</v>
      </c>
      <c r="I19" s="2">
        <f t="shared" ref="I19:I26" si="1">0.28+6/K18^0.5+21/K18</f>
        <v>9.3040949730385893</v>
      </c>
      <c r="J19" s="3">
        <f t="shared" si="0"/>
        <v>4.6674907644201407E-3</v>
      </c>
      <c r="K19" s="7">
        <f>$J$9*J19*$J$3/$J$10</f>
        <v>0.78429577957194607</v>
      </c>
    </row>
    <row r="20" spans="1:12" x14ac:dyDescent="0.3">
      <c r="H20" t="s">
        <v>21</v>
      </c>
      <c r="I20" s="2">
        <f t="shared" si="1"/>
        <v>33.830644038745334</v>
      </c>
      <c r="J20" s="3">
        <f t="shared" si="0"/>
        <v>2.4477406591272947E-3</v>
      </c>
      <c r="K20" s="7">
        <f t="shared" ref="K20:K26" si="2">$J$9*J20*$J$3/$J$10</f>
        <v>0.41130293884549091</v>
      </c>
    </row>
    <row r="21" spans="1:12" x14ac:dyDescent="0.3">
      <c r="A21" s="9"/>
      <c r="B21" s="9"/>
      <c r="C21" s="9"/>
      <c r="D21" s="9"/>
      <c r="E21" s="9"/>
      <c r="H21" t="s">
        <v>21</v>
      </c>
      <c r="I21" s="2">
        <f t="shared" si="1"/>
        <v>60.692829326772426</v>
      </c>
      <c r="J21" s="3">
        <f t="shared" si="0"/>
        <v>1.8274766767023907E-3</v>
      </c>
      <c r="K21" s="7">
        <f t="shared" si="2"/>
        <v>0.30707768202341862</v>
      </c>
    </row>
    <row r="22" spans="1:12" x14ac:dyDescent="0.3">
      <c r="A22" s="9"/>
      <c r="B22" s="9"/>
      <c r="C22" s="9"/>
      <c r="D22" s="9"/>
      <c r="E22" s="9"/>
      <c r="H22" t="s">
        <v>21</v>
      </c>
      <c r="I22" s="2">
        <f t="shared" si="1"/>
        <v>79.494077880434119</v>
      </c>
      <c r="J22" s="3">
        <f t="shared" si="0"/>
        <v>1.5968096434455378E-3</v>
      </c>
      <c r="K22" s="7">
        <f t="shared" si="2"/>
        <v>0.26831784514301144</v>
      </c>
    </row>
    <row r="23" spans="1:12" x14ac:dyDescent="0.3">
      <c r="A23" s="9"/>
      <c r="B23" s="9"/>
      <c r="C23" s="9"/>
      <c r="D23" s="9"/>
      <c r="E23" s="9"/>
      <c r="H23" t="s">
        <v>21</v>
      </c>
      <c r="I23" s="2">
        <f t="shared" si="1"/>
        <v>90.128531472278041</v>
      </c>
      <c r="J23" s="3">
        <f t="shared" si="0"/>
        <v>1.4996481886492162E-3</v>
      </c>
      <c r="K23" s="7">
        <f t="shared" si="2"/>
        <v>0.25199144563201153</v>
      </c>
    </row>
    <row r="24" spans="1:12" x14ac:dyDescent="0.3">
      <c r="H24" t="s">
        <v>21</v>
      </c>
      <c r="I24" s="2">
        <f t="shared" si="1"/>
        <v>95.568651218848004</v>
      </c>
      <c r="J24" s="3">
        <f t="shared" si="0"/>
        <v>1.4563400948356068E-3</v>
      </c>
      <c r="K24" s="7">
        <f t="shared" si="2"/>
        <v>0.24471422604793822</v>
      </c>
    </row>
    <row r="25" spans="1:12" x14ac:dyDescent="0.3">
      <c r="H25" t="s">
        <v>21</v>
      </c>
      <c r="I25" s="2">
        <f t="shared" si="1"/>
        <v>98.223288017949713</v>
      </c>
      <c r="J25" s="3">
        <f t="shared" si="0"/>
        <v>1.4365253712666276E-3</v>
      </c>
      <c r="K25" s="7">
        <f t="shared" si="2"/>
        <v>0.24138468457631929</v>
      </c>
    </row>
    <row r="26" spans="1:12" x14ac:dyDescent="0.3">
      <c r="H26" t="s">
        <v>21</v>
      </c>
      <c r="I26" s="2">
        <f t="shared" si="1"/>
        <v>99.490332936582362</v>
      </c>
      <c r="J26" s="3">
        <f t="shared" si="0"/>
        <v>1.4273487288949296E-3</v>
      </c>
      <c r="K26" s="7">
        <f t="shared" si="2"/>
        <v>0.23984269933285024</v>
      </c>
      <c r="L26" t="s">
        <v>13</v>
      </c>
    </row>
    <row r="27" spans="1:12" x14ac:dyDescent="0.3">
      <c r="I27" s="2"/>
      <c r="J27" s="3"/>
      <c r="K27" s="7"/>
    </row>
    <row r="28" spans="1:12" x14ac:dyDescent="0.3">
      <c r="H28" s="9"/>
      <c r="I28" s="10"/>
      <c r="J28" s="11"/>
      <c r="K28" s="12"/>
      <c r="L28" s="9"/>
    </row>
    <row r="29" spans="1:12" x14ac:dyDescent="0.3">
      <c r="H29" s="9"/>
      <c r="I29" s="9"/>
      <c r="J29" s="9"/>
      <c r="K29" s="9"/>
      <c r="L29" s="9"/>
    </row>
    <row r="30" spans="1:12" x14ac:dyDescent="0.3">
      <c r="H30" s="9"/>
      <c r="I30" s="9"/>
      <c r="J30" s="9"/>
      <c r="K30" s="9"/>
      <c r="L30" s="9"/>
    </row>
    <row r="31" spans="1:12" x14ac:dyDescent="0.3">
      <c r="H31" s="9"/>
      <c r="I31" s="10"/>
      <c r="J31" s="11"/>
      <c r="K31" s="12"/>
      <c r="L31" s="9"/>
    </row>
    <row r="32" spans="1:12" x14ac:dyDescent="0.3">
      <c r="I32" s="2"/>
      <c r="J32" s="3"/>
      <c r="K32" s="7"/>
    </row>
  </sheetData>
  <pageMargins left="0.25" right="0.25" top="0.75" bottom="0.75" header="0.3" footer="0.3"/>
  <pageSetup scale="7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Dave Latulippe</cp:lastModifiedBy>
  <cp:lastPrinted>2026-02-24T13:05:56Z</cp:lastPrinted>
  <dcterms:created xsi:type="dcterms:W3CDTF">2018-04-09T15:07:57Z</dcterms:created>
  <dcterms:modified xsi:type="dcterms:W3CDTF">2026-02-24T23:26:30Z</dcterms:modified>
</cp:coreProperties>
</file>