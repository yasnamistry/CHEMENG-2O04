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aching\ChE 2O04 Winter 2026\Lecture notes\"/>
    </mc:Choice>
  </mc:AlternateContent>
  <xr:revisionPtr revIDLastSave="0" documentId="13_ncr:1_{4D278B3E-3567-4DC6-B655-80A54AF711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29" i="1" l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C7" i="1"/>
  <c r="D13" i="1" l="1"/>
  <c r="C10" i="1"/>
  <c r="C18" i="1" l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C2" i="1"/>
  <c r="C15" i="1" l="1"/>
  <c r="C17" i="1" s="1"/>
  <c r="C20" i="1" s="1"/>
  <c r="C22" i="1" s="1"/>
  <c r="C23" i="1" l="1"/>
</calcChain>
</file>

<file path=xl/sharedStrings.xml><?xml version="1.0" encoding="utf-8"?>
<sst xmlns="http://schemas.openxmlformats.org/spreadsheetml/2006/main" count="49" uniqueCount="46">
  <si>
    <t>Q</t>
  </si>
  <si>
    <t>density</t>
  </si>
  <si>
    <t>L</t>
  </si>
  <si>
    <t>m</t>
  </si>
  <si>
    <t>g</t>
  </si>
  <si>
    <t>Guess</t>
  </si>
  <si>
    <t>D</t>
  </si>
  <si>
    <t>m/s</t>
  </si>
  <si>
    <t>viscosity</t>
  </si>
  <si>
    <t>Pa*s</t>
  </si>
  <si>
    <t>Re</t>
  </si>
  <si>
    <t>e</t>
  </si>
  <si>
    <t>Pa</t>
  </si>
  <si>
    <t>kPa</t>
  </si>
  <si>
    <t>z2-z1</t>
  </si>
  <si>
    <r>
      <t>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/min</t>
    </r>
  </si>
  <si>
    <r>
      <t>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/s</t>
    </r>
  </si>
  <si>
    <r>
      <t>kg/m</t>
    </r>
    <r>
      <rPr>
        <vertAlign val="superscript"/>
        <sz val="10"/>
        <rFont val="Arial"/>
        <family val="2"/>
      </rPr>
      <t>3</t>
    </r>
  </si>
  <si>
    <r>
      <t>m/s</t>
    </r>
    <r>
      <rPr>
        <vertAlign val="superscript"/>
        <sz val="10"/>
        <rFont val="Arial"/>
        <family val="2"/>
      </rPr>
      <t>2</t>
    </r>
  </si>
  <si>
    <t>Calculated ΔP</t>
  </si>
  <si>
    <r>
      <t>Σ</t>
    </r>
    <r>
      <rPr>
        <sz val="10"/>
        <rFont val="Arial"/>
        <family val="2"/>
      </rPr>
      <t>K</t>
    </r>
  </si>
  <si>
    <t>1/8</t>
  </si>
  <si>
    <t>1/4</t>
  </si>
  <si>
    <t>3/8</t>
  </si>
  <si>
    <t>1/2</t>
  </si>
  <si>
    <t>3/4</t>
  </si>
  <si>
    <t>1</t>
  </si>
  <si>
    <t>2</t>
  </si>
  <si>
    <t>2 1/2</t>
  </si>
  <si>
    <t>1 1/2</t>
  </si>
  <si>
    <t>3</t>
  </si>
  <si>
    <t>4</t>
  </si>
  <si>
    <t>5</t>
  </si>
  <si>
    <t>6</t>
  </si>
  <si>
    <t>8</t>
  </si>
  <si>
    <t>10</t>
  </si>
  <si>
    <t>12</t>
  </si>
  <si>
    <t>cm</t>
  </si>
  <si>
    <t>ID (inches)</t>
  </si>
  <si>
    <t>ID (m)</t>
  </si>
  <si>
    <t>Calculated ΔP (kPa)</t>
  </si>
  <si>
    <t>From Table 8.5</t>
  </si>
  <si>
    <t>f (Haaland Eq'n)</t>
  </si>
  <si>
    <r>
      <rPr>
        <sz val="10"/>
        <rFont val="Calibri"/>
        <family val="2"/>
      </rPr>
      <t xml:space="preserve">ε = </t>
    </r>
    <r>
      <rPr>
        <sz val="10"/>
        <rFont val="Arial"/>
        <family val="2"/>
      </rPr>
      <t>e/D</t>
    </r>
  </si>
  <si>
    <t>Vavg</t>
  </si>
  <si>
    <t>ID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</si>
</sst>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4" x14ac:knownFonts="1">
    <font>
      <sz val="10"/>
      <name val="Arial"/>
    </font>
    <font>
      <vertAlign val="superscript"/>
      <sz val="10"/>
      <name val="Arial"/>
      <family val="2"/>
    </font>
    <font>
      <sz val="10"/>
      <name val="Arial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16" fontId="0" fillId="0" borderId="4" xfId="0" quotePrefix="1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7" xfId="0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0" xfId="0" applyNumberFormat="1"/>
    <xf numFmtId="166" fontId="0" fillId="0" borderId="0" xfId="0" applyNumberFormat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4" borderId="0" xfId="0" applyFill="1" applyAlignment="1">
      <alignment horizontal="center"/>
    </xf>
    <xf numFmtId="166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65048118985128"/>
          <c:y val="3.8747004526493302E-2"/>
          <c:w val="0.81579396325459308"/>
          <c:h val="0.770447434987130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Sheet1!$B$10:$C$10</c:f>
              <c:strCache>
                <c:ptCount val="1"/>
                <c:pt idx="0">
                  <c:v>e 0.00015</c:v>
                </c:pt>
              </c:strCache>
            </c:strRef>
          </c:tx>
          <c:invertIfNegative val="0"/>
          <c:cat>
            <c:strRef>
              <c:f>Sheet1!$L$14:$L$29</c:f>
              <c:strCache>
                <c:ptCount val="16"/>
                <c:pt idx="0">
                  <c:v>1/8</c:v>
                </c:pt>
                <c:pt idx="1">
                  <c:v>1/4</c:v>
                </c:pt>
                <c:pt idx="2">
                  <c:v>3/8</c:v>
                </c:pt>
                <c:pt idx="3">
                  <c:v>1/2</c:v>
                </c:pt>
                <c:pt idx="4">
                  <c:v>3/4</c:v>
                </c:pt>
                <c:pt idx="5">
                  <c:v>1</c:v>
                </c:pt>
                <c:pt idx="6">
                  <c:v>1 1/2</c:v>
                </c:pt>
                <c:pt idx="7">
                  <c:v>2</c:v>
                </c:pt>
                <c:pt idx="8">
                  <c:v>2 1/2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8</c:v>
                </c:pt>
                <c:pt idx="14">
                  <c:v>10</c:v>
                </c:pt>
                <c:pt idx="15">
                  <c:v>12</c:v>
                </c:pt>
              </c:strCache>
            </c:strRef>
          </c:cat>
          <c:val>
            <c:numRef>
              <c:f>Sheet1!$P$14:$P$29</c:f>
              <c:numCache>
                <c:formatCode>0.0</c:formatCode>
                <c:ptCount val="16"/>
                <c:pt idx="0">
                  <c:v>2480185.5509823542</c:v>
                </c:pt>
                <c:pt idx="1">
                  <c:v>491982.49735493219</c:v>
                </c:pt>
                <c:pt idx="2">
                  <c:v>98174.244561044296</c:v>
                </c:pt>
                <c:pt idx="3">
                  <c:v>28794.226459102523</c:v>
                </c:pt>
                <c:pt idx="4">
                  <c:v>6604.9619958249732</c:v>
                </c:pt>
                <c:pt idx="5">
                  <c:v>1891.7919259629359</c:v>
                </c:pt>
                <c:pt idx="6">
                  <c:v>218.5278746554614</c:v>
                </c:pt>
                <c:pt idx="7">
                  <c:v>68.006059548950759</c:v>
                </c:pt>
                <c:pt idx="8">
                  <c:v>32.838601498089986</c:v>
                </c:pt>
                <c:pt idx="9">
                  <c:v>16.523199572201026</c:v>
                </c:pt>
                <c:pt idx="10">
                  <c:v>10.210133666099072</c:v>
                </c:pt>
                <c:pt idx="11">
                  <c:v>8.657250927466082</c:v>
                </c:pt>
                <c:pt idx="12">
                  <c:v>8.1835795873044983</c:v>
                </c:pt>
                <c:pt idx="13">
                  <c:v>7.9285885332901334</c:v>
                </c:pt>
                <c:pt idx="14">
                  <c:v>7.8620453878658605</c:v>
                </c:pt>
                <c:pt idx="15">
                  <c:v>7.84106877570302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8-4962-A666-17433145F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0997352"/>
        <c:axId val="330993040"/>
      </c:barChart>
      <c:catAx>
        <c:axId val="330997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Nominal Pipe Size (inches)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330993040"/>
        <c:crosses val="autoZero"/>
        <c:auto val="1"/>
        <c:lblAlgn val="ctr"/>
        <c:lblOffset val="100"/>
        <c:noMultiLvlLbl val="0"/>
      </c:catAx>
      <c:valAx>
        <c:axId val="33099304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Drop (kPa)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3099735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38554</xdr:colOff>
      <xdr:row>6</xdr:row>
      <xdr:rowOff>0</xdr:rowOff>
    </xdr:from>
    <xdr:to>
      <xdr:col>23</xdr:col>
      <xdr:colOff>356054</xdr:colOff>
      <xdr:row>28</xdr:row>
      <xdr:rowOff>162833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B0DAB5-EDCE-41A7-8605-75F965F7C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206830</xdr:colOff>
      <xdr:row>20</xdr:row>
      <xdr:rowOff>70756</xdr:rowOff>
    </xdr:from>
    <xdr:to>
      <xdr:col>10</xdr:col>
      <xdr:colOff>484415</xdr:colOff>
      <xdr:row>23</xdr:row>
      <xdr:rowOff>5442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E05256-0A75-1E4E-AF96-DBCB481DC01F}"/>
            </a:ext>
          </a:extLst>
        </xdr:cNvPr>
        <xdr:cNvSpPr txBox="1"/>
      </xdr:nvSpPr>
      <xdr:spPr>
        <a:xfrm>
          <a:off x="2677887" y="3358242"/>
          <a:ext cx="3548742" cy="44087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 existing pump can supply the required flow rate if the pressure drop in the piping system is less than 150 kPa</a:t>
          </a:r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29"/>
  <sheetViews>
    <sheetView tabSelected="1" zoomScale="115" zoomScaleNormal="115" workbookViewId="0">
      <selection activeCell="G5" sqref="G5"/>
    </sheetView>
  </sheetViews>
  <sheetFormatPr defaultRowHeight="13.2" x14ac:dyDescent="0.25"/>
  <cols>
    <col min="1" max="1" width="2.21875" customWidth="1"/>
    <col min="2" max="2" width="16" bestFit="1" customWidth="1"/>
    <col min="5" max="5" width="3.21875" bestFit="1" customWidth="1"/>
    <col min="12" max="12" width="4.88671875" style="6" bestFit="1" customWidth="1"/>
    <col min="13" max="13" width="13.33203125" style="6" bestFit="1" customWidth="1"/>
    <col min="14" max="14" width="13.33203125" style="6" customWidth="1"/>
    <col min="15" max="15" width="25.5546875" style="6" customWidth="1"/>
    <col min="16" max="16" width="17.44140625" style="6" bestFit="1" customWidth="1"/>
  </cols>
  <sheetData>
    <row r="1" spans="2:16" ht="15.6" x14ac:dyDescent="0.25">
      <c r="B1" t="s">
        <v>0</v>
      </c>
      <c r="C1">
        <v>0.2</v>
      </c>
      <c r="D1" t="s">
        <v>15</v>
      </c>
    </row>
    <row r="2" spans="2:16" ht="15.6" x14ac:dyDescent="0.25">
      <c r="C2">
        <f>C1/60</f>
        <v>3.3333333333333335E-3</v>
      </c>
      <c r="D2" t="s">
        <v>16</v>
      </c>
    </row>
    <row r="3" spans="2:16" ht="5.25" customHeight="1" x14ac:dyDescent="0.25"/>
    <row r="4" spans="2:16" ht="15.6" x14ac:dyDescent="0.25">
      <c r="B4" t="s">
        <v>1</v>
      </c>
      <c r="C4">
        <v>1595</v>
      </c>
      <c r="D4" t="s">
        <v>17</v>
      </c>
    </row>
    <row r="5" spans="2:16" x14ac:dyDescent="0.25">
      <c r="B5" t="s">
        <v>8</v>
      </c>
      <c r="C5">
        <v>1E-3</v>
      </c>
      <c r="D5" t="s">
        <v>9</v>
      </c>
    </row>
    <row r="6" spans="2:16" x14ac:dyDescent="0.25">
      <c r="B6" t="s">
        <v>2</v>
      </c>
      <c r="C6">
        <v>50</v>
      </c>
      <c r="D6" t="s">
        <v>3</v>
      </c>
    </row>
    <row r="7" spans="2:16" x14ac:dyDescent="0.25">
      <c r="B7" s="2" t="s">
        <v>20</v>
      </c>
      <c r="C7">
        <f>4*1.4+2*0.35</f>
        <v>6.3</v>
      </c>
    </row>
    <row r="8" spans="2:16" ht="15.6" x14ac:dyDescent="0.25">
      <c r="B8" t="s">
        <v>4</v>
      </c>
      <c r="C8">
        <v>9.81</v>
      </c>
      <c r="D8" t="s">
        <v>18</v>
      </c>
    </row>
    <row r="9" spans="2:16" x14ac:dyDescent="0.25">
      <c r="B9" t="s">
        <v>14</v>
      </c>
      <c r="C9">
        <v>0.5</v>
      </c>
      <c r="D9" t="s">
        <v>3</v>
      </c>
    </row>
    <row r="10" spans="2:16" x14ac:dyDescent="0.25">
      <c r="B10" t="s">
        <v>11</v>
      </c>
      <c r="C10">
        <f>0.15/1000</f>
        <v>1.4999999999999999E-4</v>
      </c>
      <c r="D10" t="s">
        <v>3</v>
      </c>
    </row>
    <row r="11" spans="2:16" s="3" customFormat="1" ht="6" customHeight="1" thickBot="1" x14ac:dyDescent="0.3">
      <c r="L11" s="7"/>
      <c r="M11" s="7"/>
      <c r="N11" s="7"/>
      <c r="O11" s="7"/>
      <c r="P11" s="7"/>
    </row>
    <row r="12" spans="2:16" x14ac:dyDescent="0.25">
      <c r="B12" t="s">
        <v>5</v>
      </c>
      <c r="C12" s="4" t="s">
        <v>6</v>
      </c>
      <c r="D12" s="4"/>
      <c r="E12" s="5" t="s">
        <v>37</v>
      </c>
      <c r="L12" s="8"/>
      <c r="M12" s="9" t="s">
        <v>38</v>
      </c>
      <c r="N12" s="9" t="s">
        <v>45</v>
      </c>
      <c r="O12" s="9" t="s">
        <v>39</v>
      </c>
      <c r="P12" s="10" t="s">
        <v>40</v>
      </c>
    </row>
    <row r="13" spans="2:16" x14ac:dyDescent="0.25">
      <c r="C13" s="4"/>
      <c r="D13" s="4">
        <f>D12/100</f>
        <v>0</v>
      </c>
      <c r="E13" s="4" t="s">
        <v>3</v>
      </c>
      <c r="L13" s="11"/>
      <c r="M13" s="12" t="s">
        <v>41</v>
      </c>
      <c r="N13" s="12"/>
      <c r="P13" s="13"/>
    </row>
    <row r="14" spans="2:16" x14ac:dyDescent="0.25">
      <c r="L14" s="14" t="s">
        <v>21</v>
      </c>
      <c r="M14" s="6">
        <v>0.26900000000000002</v>
      </c>
      <c r="N14" s="21">
        <f>O14*100</f>
        <v>0.68325999999999998</v>
      </c>
      <c r="O14" s="6">
        <f>+M14*0.0254</f>
        <v>6.8326000000000003E-3</v>
      </c>
      <c r="P14" s="15">
        <v>2480185.5509823542</v>
      </c>
    </row>
    <row r="15" spans="2:16" x14ac:dyDescent="0.25">
      <c r="B15" s="2" t="s">
        <v>44</v>
      </c>
      <c r="C15" s="1" t="e">
        <f>4*C2/(PI()*D13^2)</f>
        <v>#DIV/0!</v>
      </c>
      <c r="D15" t="s">
        <v>7</v>
      </c>
      <c r="L15" s="16" t="s">
        <v>22</v>
      </c>
      <c r="M15" s="6">
        <v>0.36399999999999999</v>
      </c>
      <c r="N15" s="21">
        <f t="shared" ref="N15:N29" si="0">O15*100</f>
        <v>0.92455999999999994</v>
      </c>
      <c r="O15" s="6">
        <f t="shared" ref="O15:O29" si="1">+M15*0.0254</f>
        <v>9.2455999999999997E-3</v>
      </c>
      <c r="P15" s="15">
        <v>491982.49735493219</v>
      </c>
    </row>
    <row r="16" spans="2:16" x14ac:dyDescent="0.25">
      <c r="L16" s="16" t="s">
        <v>23</v>
      </c>
      <c r="M16" s="6">
        <v>0.49299999999999999</v>
      </c>
      <c r="N16" s="21">
        <f t="shared" si="0"/>
        <v>1.2522199999999999</v>
      </c>
      <c r="O16" s="6">
        <f t="shared" si="1"/>
        <v>1.2522199999999999E-2</v>
      </c>
      <c r="P16" s="15">
        <v>98174.244561044296</v>
      </c>
    </row>
    <row r="17" spans="2:16" x14ac:dyDescent="0.25">
      <c r="B17" t="s">
        <v>10</v>
      </c>
      <c r="C17" t="e">
        <f>C4*C15*D13/C5</f>
        <v>#DIV/0!</v>
      </c>
      <c r="L17" s="16" t="s">
        <v>24</v>
      </c>
      <c r="M17" s="6">
        <v>0.622</v>
      </c>
      <c r="N17" s="21">
        <f t="shared" si="0"/>
        <v>1.5798799999999997</v>
      </c>
      <c r="O17" s="6">
        <f t="shared" si="1"/>
        <v>1.5798799999999998E-2</v>
      </c>
      <c r="P17" s="15">
        <v>28794.226459102523</v>
      </c>
    </row>
    <row r="18" spans="2:16" ht="13.8" x14ac:dyDescent="0.3">
      <c r="B18" s="2" t="s">
        <v>43</v>
      </c>
      <c r="C18" t="e">
        <f>C10/D13</f>
        <v>#DIV/0!</v>
      </c>
      <c r="L18" s="16" t="s">
        <v>25</v>
      </c>
      <c r="M18" s="6">
        <v>0.82399999999999995</v>
      </c>
      <c r="N18" s="21">
        <f t="shared" si="0"/>
        <v>2.0929600000000002</v>
      </c>
      <c r="O18" s="6">
        <f t="shared" si="1"/>
        <v>2.09296E-2</v>
      </c>
      <c r="P18" s="15">
        <v>6604.9619958249732</v>
      </c>
    </row>
    <row r="19" spans="2:16" x14ac:dyDescent="0.25">
      <c r="L19" s="16" t="s">
        <v>26</v>
      </c>
      <c r="M19" s="6">
        <v>1.0489999999999999</v>
      </c>
      <c r="N19" s="21">
        <f t="shared" si="0"/>
        <v>2.6644599999999996</v>
      </c>
      <c r="O19" s="6">
        <f t="shared" si="1"/>
        <v>2.6644599999999997E-2</v>
      </c>
      <c r="P19" s="15">
        <v>1891.7919259629359</v>
      </c>
    </row>
    <row r="20" spans="2:16" x14ac:dyDescent="0.25">
      <c r="B20" s="2" t="s">
        <v>42</v>
      </c>
      <c r="C20" s="1" t="e">
        <f>(1/(-1.8*LOG((C18/3.7)^1.11+6.9/C17)))^2</f>
        <v>#DIV/0!</v>
      </c>
      <c r="L20" s="16" t="s">
        <v>29</v>
      </c>
      <c r="M20" s="6">
        <v>1.61</v>
      </c>
      <c r="N20" s="21">
        <f t="shared" si="0"/>
        <v>4.0894000000000004</v>
      </c>
      <c r="O20" s="6">
        <f t="shared" si="1"/>
        <v>4.0894E-2</v>
      </c>
      <c r="P20" s="15">
        <v>218.5278746554614</v>
      </c>
    </row>
    <row r="21" spans="2:16" x14ac:dyDescent="0.25">
      <c r="L21" s="16" t="s">
        <v>27</v>
      </c>
      <c r="M21" s="6">
        <v>2.0670000000000002</v>
      </c>
      <c r="N21" s="21">
        <f t="shared" si="0"/>
        <v>5.2501800000000003</v>
      </c>
      <c r="O21" s="6">
        <f t="shared" si="1"/>
        <v>5.2501800000000001E-2</v>
      </c>
      <c r="P21" s="15">
        <v>68.006059548950759</v>
      </c>
    </row>
    <row r="22" spans="2:16" x14ac:dyDescent="0.25">
      <c r="B22" t="s">
        <v>19</v>
      </c>
      <c r="C22" t="e">
        <f>C4*C8*C9+C4*8*C2^2/(PI()^2*D13^4)*(C20*C6/D13+C7)</f>
        <v>#DIV/0!</v>
      </c>
      <c r="D22" t="s">
        <v>12</v>
      </c>
      <c r="L22" s="22" t="s">
        <v>28</v>
      </c>
      <c r="M22" s="23">
        <v>2.4689999999999999</v>
      </c>
      <c r="N22" s="24">
        <f t="shared" si="0"/>
        <v>6.2712599999999989</v>
      </c>
      <c r="O22" s="6">
        <f t="shared" si="1"/>
        <v>6.2712599999999993E-2</v>
      </c>
      <c r="P22" s="15">
        <v>32.838601498089986</v>
      </c>
    </row>
    <row r="23" spans="2:16" x14ac:dyDescent="0.25">
      <c r="C23" s="20" t="e">
        <f>C22/1000</f>
        <v>#DIV/0!</v>
      </c>
      <c r="D23" t="s">
        <v>13</v>
      </c>
      <c r="L23" s="16" t="s">
        <v>30</v>
      </c>
      <c r="M23" s="6">
        <v>3.0680000000000001</v>
      </c>
      <c r="N23" s="21">
        <f t="shared" si="0"/>
        <v>7.7927200000000001</v>
      </c>
      <c r="O23" s="6">
        <f t="shared" si="1"/>
        <v>7.7927200000000002E-2</v>
      </c>
      <c r="P23" s="15">
        <v>16.523199572201026</v>
      </c>
    </row>
    <row r="24" spans="2:16" x14ac:dyDescent="0.25">
      <c r="L24" s="16" t="s">
        <v>31</v>
      </c>
      <c r="M24" s="6">
        <v>4.0259999999999998</v>
      </c>
      <c r="N24" s="21">
        <f t="shared" si="0"/>
        <v>10.226039999999999</v>
      </c>
      <c r="O24" s="6">
        <f t="shared" si="1"/>
        <v>0.10226039999999999</v>
      </c>
      <c r="P24" s="15">
        <v>10.210133666099072</v>
      </c>
    </row>
    <row r="25" spans="2:16" x14ac:dyDescent="0.25">
      <c r="L25" s="16" t="s">
        <v>32</v>
      </c>
      <c r="M25" s="6">
        <v>5.0469999999999997</v>
      </c>
      <c r="N25" s="21">
        <f t="shared" si="0"/>
        <v>12.819379999999999</v>
      </c>
      <c r="O25" s="6">
        <f t="shared" si="1"/>
        <v>0.1281938</v>
      </c>
      <c r="P25" s="15">
        <v>8.657250927466082</v>
      </c>
    </row>
    <row r="26" spans="2:16" x14ac:dyDescent="0.25">
      <c r="L26" s="16" t="s">
        <v>33</v>
      </c>
      <c r="M26" s="6">
        <v>6.0650000000000004</v>
      </c>
      <c r="N26" s="21">
        <f t="shared" si="0"/>
        <v>15.405099999999999</v>
      </c>
      <c r="O26" s="6">
        <f t="shared" si="1"/>
        <v>0.15405099999999999</v>
      </c>
      <c r="P26" s="15">
        <v>8.1835795873044983</v>
      </c>
    </row>
    <row r="27" spans="2:16" x14ac:dyDescent="0.25">
      <c r="L27" s="16" t="s">
        <v>34</v>
      </c>
      <c r="M27" s="6">
        <v>7.9809999999999999</v>
      </c>
      <c r="N27" s="21">
        <f t="shared" si="0"/>
        <v>20.271739999999998</v>
      </c>
      <c r="O27" s="6">
        <f t="shared" si="1"/>
        <v>0.20271739999999999</v>
      </c>
      <c r="P27" s="15">
        <v>7.9285885332901334</v>
      </c>
    </row>
    <row r="28" spans="2:16" x14ac:dyDescent="0.25">
      <c r="L28" s="16" t="s">
        <v>35</v>
      </c>
      <c r="M28" s="6">
        <v>10.02</v>
      </c>
      <c r="N28" s="21">
        <f t="shared" si="0"/>
        <v>25.450799999999994</v>
      </c>
      <c r="O28" s="6">
        <f t="shared" si="1"/>
        <v>0.25450799999999996</v>
      </c>
      <c r="P28" s="15">
        <v>7.8620453878658605</v>
      </c>
    </row>
    <row r="29" spans="2:16" ht="13.8" thickBot="1" x14ac:dyDescent="0.3">
      <c r="L29" s="17" t="s">
        <v>36</v>
      </c>
      <c r="M29" s="18">
        <v>12</v>
      </c>
      <c r="N29" s="21">
        <f t="shared" si="0"/>
        <v>30.479999999999997</v>
      </c>
      <c r="O29" s="18">
        <f t="shared" si="1"/>
        <v>0.30479999999999996</v>
      </c>
      <c r="P29" s="19">
        <v>7.84106877570302</v>
      </c>
    </row>
  </sheetData>
  <phoneticPr fontId="0" type="noConversion"/>
  <pageMargins left="0.75" right="0.75" top="1" bottom="1" header="0.5" footer="0.5"/>
  <pageSetup scale="47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McMaster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Latulippe</dc:creator>
  <cp:lastModifiedBy>Dave Latulippe</cp:lastModifiedBy>
  <cp:lastPrinted>2023-03-13T14:48:38Z</cp:lastPrinted>
  <dcterms:created xsi:type="dcterms:W3CDTF">2012-10-31T14:41:19Z</dcterms:created>
  <dcterms:modified xsi:type="dcterms:W3CDTF">2026-03-12T14:24:48Z</dcterms:modified>
</cp:coreProperties>
</file>