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aching\ChE 2O04 Winter 2026\Lecture notes\"/>
    </mc:Choice>
  </mc:AlternateContent>
  <xr:revisionPtr revIDLastSave="0" documentId="13_ncr:1_{2A9977C6-C0AA-4417-8215-B31DB25EF036}" xr6:coauthVersionLast="47" xr6:coauthVersionMax="47" xr10:uidLastSave="{00000000-0000-0000-0000-000000000000}"/>
  <bookViews>
    <workbookView xWindow="-108" yWindow="-108" windowWidth="23256" windowHeight="13896" xr2:uid="{51C25ACF-493D-41EB-BD85-6CF5474515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3" i="1"/>
  <c r="G9" i="1"/>
  <c r="G8" i="1"/>
  <c r="G16" i="1" l="1"/>
  <c r="G18" i="1" s="1"/>
  <c r="G22" i="1"/>
  <c r="G24" i="1" l="1"/>
  <c r="G27" i="1"/>
  <c r="I22" i="1"/>
</calcChain>
</file>

<file path=xl/sharedStrings.xml><?xml version="1.0" encoding="utf-8"?>
<sst xmlns="http://schemas.openxmlformats.org/spreadsheetml/2006/main" count="33" uniqueCount="30">
  <si>
    <t>P1 - P2</t>
  </si>
  <si>
    <t>Pa</t>
  </si>
  <si>
    <t>Guess Co</t>
  </si>
  <si>
    <t>β</t>
  </si>
  <si>
    <t>Calculate Q</t>
  </si>
  <si>
    <t>d</t>
  </si>
  <si>
    <t>m</t>
  </si>
  <si>
    <r>
      <t>SG</t>
    </r>
    <r>
      <rPr>
        <vertAlign val="subscript"/>
        <sz val="11"/>
        <color theme="1"/>
        <rFont val="Aptos Narrow"/>
        <family val="2"/>
        <scheme val="minor"/>
      </rPr>
      <t>methanol</t>
    </r>
  </si>
  <si>
    <r>
      <t>ρ</t>
    </r>
    <r>
      <rPr>
        <vertAlign val="subscript"/>
        <sz val="11"/>
        <color theme="1"/>
        <rFont val="Aptos Narrow"/>
        <family val="2"/>
      </rPr>
      <t>methanol</t>
    </r>
  </si>
  <si>
    <r>
      <t>kg/m</t>
    </r>
    <r>
      <rPr>
        <vertAlign val="superscript"/>
        <sz val="11"/>
        <color theme="1"/>
        <rFont val="Aptos Narrow"/>
        <family val="2"/>
        <scheme val="minor"/>
      </rPr>
      <t>3</t>
    </r>
  </si>
  <si>
    <t>Calculate Re</t>
  </si>
  <si>
    <r>
      <t>µ</t>
    </r>
    <r>
      <rPr>
        <vertAlign val="subscript"/>
        <sz val="11"/>
        <color theme="1"/>
        <rFont val="Aptos Narrow"/>
        <family val="2"/>
      </rPr>
      <t>methanol</t>
    </r>
  </si>
  <si>
    <t>Pa*s</t>
  </si>
  <si>
    <r>
      <t>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/s</t>
    </r>
  </si>
  <si>
    <t>New Co</t>
  </si>
  <si>
    <t>New Q</t>
  </si>
  <si>
    <t>New Re</t>
  </si>
  <si>
    <t>From Figure 8.20 at very high Reynolds number</t>
  </si>
  <si>
    <t>Step 1</t>
  </si>
  <si>
    <t>Step 2</t>
  </si>
  <si>
    <r>
      <t>D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</si>
  <si>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rPr>
        <sz val="11"/>
        <color theme="1"/>
        <rFont val="Aptos Narrow"/>
        <family val="2"/>
      </rPr>
      <t>∆</t>
    </r>
    <r>
      <rPr>
        <sz val="12.65"/>
        <color theme="1"/>
        <rFont val="Aptos Narrow"/>
        <family val="2"/>
      </rPr>
      <t>h (manometer)</t>
    </r>
  </si>
  <si>
    <t>cm</t>
  </si>
  <si>
    <t>From Figure 8.20 at Re ~30 000</t>
  </si>
  <si>
    <t>Vavg</t>
  </si>
  <si>
    <t>L/s</t>
  </si>
  <si>
    <t>m/s</t>
  </si>
  <si>
    <r>
      <t>ρ</t>
    </r>
    <r>
      <rPr>
        <vertAlign val="subscript"/>
        <sz val="11"/>
        <color theme="1"/>
        <rFont val="Aptos Narrow"/>
        <family val="2"/>
      </rPr>
      <t>meriam-blue</t>
    </r>
  </si>
  <si>
    <t>(from Table A.1)</t>
  </si>
  <si>
    <t>(from Table A.2)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</si>
</sst>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</font>
    <font>
      <vertAlign val="superscript"/>
      <sz val="11"/>
      <color theme="1"/>
      <name val="Aptos Narrow"/>
      <family val="2"/>
      <scheme val="minor"/>
    </font>
    <font>
      <sz val="12.65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443951</xdr:colOff>
      <xdr:row>16</xdr:row>
      <xdr:rowOff>178907</xdr:rowOff>
    </xdr:from>
    <xdr:to>
      <xdr:col>4</xdr:col>
      <xdr:colOff>278299</xdr:colOff>
      <xdr:row>23</xdr:row>
      <xdr:rowOff>165653</xdr:rowOff>
    </xdr:to>
    <xdr:sp macro="" textlink="">
      <xdr:nvSpPr>
        <xdr:cNvPr id="3" name="Arrow: U-Turn 2">
          <a:extLst>
            <a:ext uri="{FF2B5EF4-FFF2-40B4-BE49-F238E27FC236}">
              <a16:creationId xmlns:a16="http://schemas.microsoft.com/office/drawing/2014/main" id="{89D953ED-EAF2-511E-4935-16DF039F09A2}"/>
            </a:ext>
          </a:extLst>
        </xdr:cNvPr>
        <xdr:cNvSpPr/>
      </xdr:nvSpPr>
      <xdr:spPr>
        <a:xfrm rot="16200000">
          <a:off x="1842056" y="3094385"/>
          <a:ext cx="1305337" cy="44394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125895</xdr:colOff>
      <xdr:row>17</xdr:row>
      <xdr:rowOff>178904</xdr:rowOff>
    </xdr:from>
    <xdr:to>
      <xdr:col>3</xdr:col>
      <xdr:colOff>371060</xdr:colOff>
      <xdr:row>24</xdr:row>
      <xdr:rowOff>46383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32C1223-9ABE-A989-3200-EE6F86F6B769}"/>
            </a:ext>
          </a:extLst>
        </xdr:cNvPr>
        <xdr:cNvSpPr txBox="1"/>
      </xdr:nvSpPr>
      <xdr:spPr>
        <a:xfrm>
          <a:off x="125895" y="2849217"/>
          <a:ext cx="2073965" cy="118607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Since the new</a:t>
          </a:r>
          <a:r>
            <a:rPr lang="en-CA" sz="1100" baseline="0"/>
            <a:t> Re value is very close to the previous Re value, we can conclude that our solution has "convereged" and that the volumetric flow rate of methanol is 0.00073</a:t>
          </a:r>
        </a:p>
        <a:p>
          <a:r>
            <a:rPr lang="en-CA" sz="1100" baseline="0"/>
            <a:t> m</a:t>
          </a:r>
          <a:r>
            <a:rPr lang="en-CA" sz="1100" baseline="30000"/>
            <a:t>3</a:t>
          </a:r>
          <a:r>
            <a:rPr lang="en-CA" sz="1100" baseline="0"/>
            <a:t>/s</a:t>
          </a:r>
        </a:p>
        <a:p>
          <a:endParaRPr lang="en-CA" sz="1100" baseline="0"/>
        </a:p>
        <a:p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F57D-3B26-4489-8EB4-D44D88BF02BA}">
  <sheetPr>
    <pageSetUpPr fitToPage="1"/>
  </sheetPr>
  <dimension ref="E2:J27"/>
  <sheetViews>
    <sheetView tabSelected="1" zoomScale="115" zoomScaleNormal="115" workbookViewId="0">
      <selection activeCell="E6" sqref="E6"/>
    </sheetView>
  </sheetViews>
  <sheetFormatPr defaultRowHeight="14.4" x14ac:dyDescent="0.3"/>
  <cols>
    <col min="6" max="6" width="15.88671875" bestFit="1" customWidth="1"/>
  </cols>
  <sheetData>
    <row r="2" spans="5:9" ht="16.8" x14ac:dyDescent="0.35">
      <c r="F2" s="1" t="s">
        <v>21</v>
      </c>
      <c r="G2">
        <v>11</v>
      </c>
      <c r="H2" t="s">
        <v>22</v>
      </c>
    </row>
    <row r="4" spans="5:9" x14ac:dyDescent="0.3">
      <c r="F4" t="s">
        <v>5</v>
      </c>
      <c r="G4">
        <v>2.8000000000000001E-2</v>
      </c>
      <c r="H4" t="s">
        <v>6</v>
      </c>
    </row>
    <row r="5" spans="5:9" ht="15.6" x14ac:dyDescent="0.35">
      <c r="F5" t="s">
        <v>20</v>
      </c>
      <c r="G5">
        <v>0.04</v>
      </c>
      <c r="H5" t="s">
        <v>6</v>
      </c>
    </row>
    <row r="6" spans="5:9" ht="15.6" x14ac:dyDescent="0.35">
      <c r="F6" t="s">
        <v>7</v>
      </c>
      <c r="G6">
        <v>0.79600000000000004</v>
      </c>
    </row>
    <row r="7" spans="5:9" ht="16.8" x14ac:dyDescent="0.35">
      <c r="F7" s="1" t="s">
        <v>27</v>
      </c>
      <c r="G7">
        <v>1750</v>
      </c>
      <c r="H7" t="s">
        <v>9</v>
      </c>
      <c r="I7" t="s">
        <v>28</v>
      </c>
    </row>
    <row r="8" spans="5:9" ht="16.8" x14ac:dyDescent="0.35">
      <c r="F8" s="1" t="s">
        <v>8</v>
      </c>
      <c r="G8">
        <f>G6*1000</f>
        <v>796</v>
      </c>
      <c r="H8" t="s">
        <v>9</v>
      </c>
      <c r="I8" t="s">
        <v>29</v>
      </c>
    </row>
    <row r="9" spans="5:9" ht="15.6" x14ac:dyDescent="0.35">
      <c r="F9" s="1" t="s">
        <v>11</v>
      </c>
      <c r="G9">
        <f>0.592/1000</f>
        <v>5.9199999999999997E-4</v>
      </c>
      <c r="H9" t="s">
        <v>12</v>
      </c>
    </row>
    <row r="10" spans="5:9" x14ac:dyDescent="0.3">
      <c r="F10" s="1"/>
    </row>
    <row r="11" spans="5:9" x14ac:dyDescent="0.3">
      <c r="F11" t="s">
        <v>0</v>
      </c>
      <c r="G11">
        <f>G2/100*9.81*(G7-G8)</f>
        <v>1029.4614000000001</v>
      </c>
      <c r="H11" t="s">
        <v>1</v>
      </c>
    </row>
    <row r="13" spans="5:9" x14ac:dyDescent="0.3">
      <c r="F13" s="1" t="s">
        <v>3</v>
      </c>
      <c r="G13">
        <f>G4/G5</f>
        <v>0.7</v>
      </c>
    </row>
    <row r="14" spans="5:9" x14ac:dyDescent="0.3">
      <c r="E14" t="s">
        <v>18</v>
      </c>
      <c r="F14" t="s">
        <v>2</v>
      </c>
      <c r="G14">
        <v>0.625</v>
      </c>
      <c r="H14" t="s">
        <v>17</v>
      </c>
    </row>
    <row r="16" spans="5:9" ht="16.2" x14ac:dyDescent="0.3">
      <c r="F16" t="s">
        <v>4</v>
      </c>
      <c r="G16">
        <f>G14*PI()/4*$G$4^2*SQRT(2*$G$11/($G$8*(1-$G$4^4/$G$5^4)))</f>
        <v>7.1002107007931445E-4</v>
      </c>
      <c r="H16" t="s">
        <v>13</v>
      </c>
    </row>
    <row r="18" spans="5:10" x14ac:dyDescent="0.3">
      <c r="F18" t="s">
        <v>10</v>
      </c>
      <c r="G18">
        <f>4*$G$8*G16/(PI()*$G$9*$G$5)</f>
        <v>30388.742212839821</v>
      </c>
    </row>
    <row r="20" spans="5:10" x14ac:dyDescent="0.3">
      <c r="E20" t="s">
        <v>19</v>
      </c>
      <c r="F20" t="s">
        <v>14</v>
      </c>
      <c r="G20">
        <v>0.64</v>
      </c>
      <c r="H20" t="s">
        <v>23</v>
      </c>
    </row>
    <row r="22" spans="5:10" ht="16.2" x14ac:dyDescent="0.3">
      <c r="F22" t="s">
        <v>15</v>
      </c>
      <c r="G22">
        <f>G20*PI()/4*$G$4^2*SQRT(2*$G$11/($G$8*(1-$G$4^4/$G$5^4)))</f>
        <v>7.2706157576121809E-4</v>
      </c>
      <c r="H22" t="s">
        <v>13</v>
      </c>
      <c r="I22" s="3">
        <f>G22*1000</f>
        <v>0.7270615757612181</v>
      </c>
      <c r="J22" t="s">
        <v>25</v>
      </c>
    </row>
    <row r="24" spans="5:10" x14ac:dyDescent="0.3">
      <c r="F24" t="s">
        <v>16</v>
      </c>
      <c r="G24">
        <f>4*$G$8*G22/(PI()*$G$9*$G$5)</f>
        <v>31118.072025947982</v>
      </c>
    </row>
    <row r="27" spans="5:10" x14ac:dyDescent="0.3">
      <c r="F27" t="s">
        <v>24</v>
      </c>
      <c r="G27" s="2">
        <f>G22/(PI()/4*G5^2)</f>
        <v>0.57857721857290212</v>
      </c>
      <c r="H27" t="s">
        <v>26</v>
      </c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Latulippe, David</dc:creator>
  <cp:lastModifiedBy>Dave Latulippe</cp:lastModifiedBy>
  <cp:lastPrinted>2026-01-30T12:56:53Z</cp:lastPrinted>
  <dcterms:created xsi:type="dcterms:W3CDTF">2024-02-07T15:45:49Z</dcterms:created>
  <dcterms:modified xsi:type="dcterms:W3CDTF">2026-02-02T10:34:59Z</dcterms:modified>
</cp:coreProperties>
</file>