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smithg12\Documents\Griffin Research\Fluid Mechanics TA\"/>
    </mc:Choice>
  </mc:AlternateContent>
  <xr:revisionPtr revIDLastSave="0" documentId="13_ncr:1_{74E27267-C67B-42ED-83A8-AAB98C1B8985}" xr6:coauthVersionLast="47" xr6:coauthVersionMax="47" xr10:uidLastSave="{00000000-0000-0000-0000-000000000000}"/>
  <bookViews>
    <workbookView xWindow="-28920" yWindow="1605" windowWidth="29040" windowHeight="15720" xr2:uid="{58F935E6-7621-4486-803A-FC3307BF2290}"/>
  </bookViews>
  <sheets>
    <sheet name="Question 1" sheetId="2" r:id="rId1"/>
    <sheet name="Question 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9" i="2" s="1"/>
  <c r="D31" i="2" s="1"/>
  <c r="D33" i="2" s="1"/>
  <c r="D15" i="2"/>
  <c r="D16" i="2" s="1"/>
  <c r="D3" i="2"/>
  <c r="D13" i="2" s="1"/>
  <c r="D18" i="2" l="1"/>
  <c r="D20" i="2" s="1"/>
  <c r="I34" i="1"/>
  <c r="I36" i="1" s="1"/>
  <c r="I38" i="1" s="1"/>
  <c r="I39" i="1" s="1"/>
  <c r="I41" i="1" s="1"/>
  <c r="I43" i="1" s="1"/>
  <c r="I45" i="1" s="1"/>
  <c r="I46" i="1" s="1"/>
  <c r="I48" i="1" s="1"/>
  <c r="I50" i="1" s="1"/>
  <c r="I52" i="1" s="1"/>
  <c r="I53" i="1" s="1"/>
  <c r="I55" i="1" s="1"/>
  <c r="I57" i="1" s="1"/>
  <c r="I59" i="1" s="1"/>
  <c r="I60" i="1" s="1"/>
  <c r="I62" i="1" s="1"/>
  <c r="I64" i="1" s="1"/>
  <c r="I66" i="1" s="1"/>
  <c r="I67" i="1" s="1"/>
  <c r="I69" i="1" s="1"/>
  <c r="I25" i="1"/>
  <c r="D25" i="1"/>
  <c r="I20" i="1"/>
  <c r="I31" i="1" s="1"/>
  <c r="I32" i="1" s="1"/>
  <c r="D20" i="1"/>
  <c r="D31" i="1" s="1"/>
  <c r="D32" i="1" l="1"/>
  <c r="D34" i="1" s="1"/>
  <c r="D36" i="1" s="1"/>
  <c r="D38" i="1" s="1"/>
  <c r="D39" i="1" s="1"/>
  <c r="D41" i="1" s="1"/>
  <c r="D43" i="1" s="1"/>
  <c r="D45" i="1" s="1"/>
  <c r="D46" i="1" s="1"/>
  <c r="D48" i="1" s="1"/>
  <c r="D50" i="1" s="1"/>
  <c r="D52" i="1" s="1"/>
  <c r="D53" i="1" s="1"/>
  <c r="D55" i="1" s="1"/>
</calcChain>
</file>

<file path=xl/sharedStrings.xml><?xml version="1.0" encoding="utf-8"?>
<sst xmlns="http://schemas.openxmlformats.org/spreadsheetml/2006/main" count="118" uniqueCount="45">
  <si>
    <t>a)</t>
  </si>
  <si>
    <t>Q_total</t>
  </si>
  <si>
    <t>L/min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</si>
  <si>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</t>
    </r>
  </si>
  <si>
    <t>Water density</t>
  </si>
  <si>
    <r>
      <t>kg/m</t>
    </r>
    <r>
      <rPr>
        <vertAlign val="superscript"/>
        <sz val="11"/>
        <color theme="1"/>
        <rFont val="Aptos Narrow"/>
        <family val="2"/>
        <scheme val="minor"/>
      </rPr>
      <t>3</t>
    </r>
  </si>
  <si>
    <t>Water viscosity</t>
  </si>
  <si>
    <t>Pa*s</t>
  </si>
  <si>
    <t xml:space="preserve">According to </t>
  </si>
  <si>
    <t xml:space="preserve">https://www.engineeringtoolbox.com/smaller-circles-in-larger-circle-d_1849.html </t>
  </si>
  <si>
    <r>
      <rPr>
        <b/>
        <sz val="11"/>
        <color theme="1"/>
        <rFont val="Aptos Narrow"/>
        <family val="2"/>
        <scheme val="minor"/>
      </rPr>
      <t>213 drinking straws can fit inside the PVC pipe</t>
    </r>
    <r>
      <rPr>
        <sz val="11"/>
        <color theme="1"/>
        <rFont val="Aptos Narrow"/>
        <family val="2"/>
        <scheme val="minor"/>
      </rPr>
      <t xml:space="preserve"> (see screenshot)</t>
    </r>
  </si>
  <si>
    <t>According to the assumption that "no flow goes in the gap between the straws"</t>
  </si>
  <si>
    <t>Flow rate in each straw:</t>
  </si>
  <si>
    <t>straw diameter</t>
  </si>
  <si>
    <t>m</t>
  </si>
  <si>
    <t>Cross-sectional area of straw: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</si>
  <si>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</si>
  <si>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Average velocity in each straw:</t>
  </si>
  <si>
    <t>m/s</t>
  </si>
  <si>
    <t>Reynolds number inside straw</t>
  </si>
  <si>
    <t>Since Re &lt; 2300, the flow is laminar!!</t>
  </si>
  <si>
    <t>b)</t>
  </si>
  <si>
    <t>In the absence of drinking straws:</t>
  </si>
  <si>
    <t>PVP pipe diameter</t>
  </si>
  <si>
    <t>Cross-sectional area of PVC pipe:</t>
  </si>
  <si>
    <t>Average velocity in PVC pipe:</t>
  </si>
  <si>
    <t>Reynolds number inside PVC pipe:</t>
  </si>
  <si>
    <t>Since Re &gt; 4000, the flow is turbulent!!</t>
  </si>
  <si>
    <t>Sand</t>
  </si>
  <si>
    <t>diameter</t>
  </si>
  <si>
    <t>mm</t>
  </si>
  <si>
    <t>density</t>
  </si>
  <si>
    <t>kg/m^3</t>
  </si>
  <si>
    <t>Air @ 20 C</t>
  </si>
  <si>
    <t>viscosity</t>
  </si>
  <si>
    <t>kinematic viscosity</t>
  </si>
  <si>
    <t>m^2/s</t>
  </si>
  <si>
    <t>Guess</t>
  </si>
  <si>
    <t>Cd</t>
  </si>
  <si>
    <t>Vt^2</t>
  </si>
  <si>
    <t>Vt</t>
  </si>
  <si>
    <t>Reynolds number</t>
  </si>
  <si>
    <t>Calculate new</t>
  </si>
  <si>
    <t>STOP (since very close to previous Reynolds number value 424)</t>
  </si>
  <si>
    <t>STOP (since very close to previous Reynolds number value 421)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</si>
</sst>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11" fontId="0" fillId="0" borderId="0" xfId="0" applyNumberFormat="1"/>
    <xf numFmtId="165" fontId="0" fillId="0" borderId="0" xfId="1" applyNumberFormat="1" applyFont="1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2" fontId="0" fillId="0" borderId="2" xfId="0" applyNumberFormat="1" applyBorder="1"/>
    <xf numFmtId="0" fontId="0" fillId="0" borderId="3" xfId="0" applyBorder="1"/>
    <xf numFmtId="0" fontId="4" fillId="0" borderId="0" xfId="2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0" borderId="5" xfId="0" applyNumberForma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58943</xdr:colOff>
      <xdr:row>0</xdr:row>
      <xdr:rowOff>38436</xdr:rowOff>
    </xdr:from>
    <xdr:to>
      <xdr:col>19</xdr:col>
      <xdr:colOff>517141</xdr:colOff>
      <xdr:row>45</xdr:row>
      <xdr:rowOff>36575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067CD-CE80-7883-9CE8-003FCDFF1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4443" y="217730"/>
          <a:ext cx="7110682" cy="8279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1</xdr:row>
      <xdr:rowOff>65314</xdr:rowOff>
    </xdr:from>
    <xdr:to>
      <xdr:col>4</xdr:col>
      <xdr:colOff>935776</xdr:colOff>
      <xdr:row>13</xdr:row>
      <xdr:rowOff>172716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0D654-974C-03AD-C6E5-C5848ECA8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250371"/>
          <a:ext cx="4103915" cy="231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</xdr:colOff>
      <xdr:row>17</xdr:row>
      <xdr:rowOff>88496</xdr:rowOff>
    </xdr:from>
    <xdr:to>
      <xdr:col>35</xdr:col>
      <xdr:colOff>400991</xdr:colOff>
      <xdr:row>70</xdr:row>
      <xdr:rowOff>59575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BD574A-08AD-01E5-27A2-66EDD058C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1" y="3032587"/>
          <a:ext cx="11917580" cy="9211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engineeringtoolbox.com/smaller-circles-in-larger-circle-d_1849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3758-69C0-4E71-92F2-3D9C4352D495}">
  <dimension ref="A1:G35"/>
  <sheetViews>
    <sheetView tabSelected="1" topLeftCell="A24" zoomScale="130" zoomScaleNormal="130" workbookViewId="0">
      <selection activeCell="H27" sqref="H27"/>
    </sheetView>
  </sheetViews>
  <sheetFormatPr defaultRowHeight="14.45"/>
  <cols>
    <col min="2" max="2" width="12.140625" bestFit="1" customWidth="1"/>
    <col min="3" max="3" width="17.85546875" customWidth="1"/>
    <col min="4" max="4" width="12" bestFit="1" customWidth="1"/>
  </cols>
  <sheetData>
    <row r="1" spans="1:5">
      <c r="A1" t="s">
        <v>0</v>
      </c>
    </row>
    <row r="2" spans="1:5">
      <c r="B2" t="s">
        <v>1</v>
      </c>
      <c r="D2">
        <v>90</v>
      </c>
      <c r="E2" t="s">
        <v>2</v>
      </c>
    </row>
    <row r="3" spans="1:5" ht="16.149999999999999">
      <c r="D3">
        <f>D2/1000/60</f>
        <v>1.5E-3</v>
      </c>
      <c r="E3" t="s">
        <v>3</v>
      </c>
    </row>
    <row r="4" spans="1:5" ht="16.149999999999999">
      <c r="B4" t="s">
        <v>4</v>
      </c>
      <c r="D4">
        <v>1000</v>
      </c>
      <c r="E4" t="s">
        <v>5</v>
      </c>
    </row>
    <row r="5" spans="1:5">
      <c r="B5" t="s">
        <v>6</v>
      </c>
      <c r="D5">
        <v>1.2999999999999999E-3</v>
      </c>
      <c r="E5" t="s">
        <v>7</v>
      </c>
    </row>
    <row r="7" spans="1:5">
      <c r="A7" t="s">
        <v>8</v>
      </c>
    </row>
    <row r="8" spans="1:5">
      <c r="A8" s="11" t="s">
        <v>9</v>
      </c>
    </row>
    <row r="9" spans="1:5">
      <c r="A9" t="s">
        <v>10</v>
      </c>
    </row>
    <row r="11" spans="1:5">
      <c r="A11" t="s">
        <v>11</v>
      </c>
    </row>
    <row r="13" spans="1:5" ht="16.149999999999999">
      <c r="B13" t="s">
        <v>12</v>
      </c>
      <c r="D13">
        <f>D3/213</f>
        <v>7.0422535211267608E-6</v>
      </c>
      <c r="E13" t="s">
        <v>3</v>
      </c>
    </row>
    <row r="15" spans="1:5">
      <c r="B15" t="s">
        <v>13</v>
      </c>
      <c r="D15">
        <f>6/1000</f>
        <v>6.0000000000000001E-3</v>
      </c>
      <c r="E15" t="s">
        <v>14</v>
      </c>
    </row>
    <row r="16" spans="1:5" ht="16.149999999999999">
      <c r="B16" t="s">
        <v>15</v>
      </c>
      <c r="D16">
        <f>PI()/4*D15^2</f>
        <v>2.8274333882308137E-5</v>
      </c>
      <c r="E16" t="s">
        <v>16</v>
      </c>
    </row>
    <row r="18" spans="1:7">
      <c r="B18" t="s">
        <v>17</v>
      </c>
      <c r="D18">
        <f>D13/D16</f>
        <v>0.24906876853191762</v>
      </c>
      <c r="E18" t="s">
        <v>18</v>
      </c>
    </row>
    <row r="19" spans="1:7" ht="15" thickBot="1"/>
    <row r="20" spans="1:7">
      <c r="B20" s="13" t="s">
        <v>19</v>
      </c>
      <c r="C20" s="14"/>
      <c r="D20" s="21">
        <f>D$4*D18*D15/D$5</f>
        <v>1149.5481624550043</v>
      </c>
      <c r="E20" s="14"/>
      <c r="F20" s="14"/>
      <c r="G20" s="15"/>
    </row>
    <row r="21" spans="1:7">
      <c r="B21" s="16"/>
      <c r="G21" s="17"/>
    </row>
    <row r="22" spans="1:7" ht="15" thickBot="1">
      <c r="B22" s="18"/>
      <c r="C22" s="19"/>
      <c r="D22" s="19" t="s">
        <v>20</v>
      </c>
      <c r="E22" s="19"/>
      <c r="F22" s="19"/>
      <c r="G22" s="20"/>
    </row>
    <row r="25" spans="1:7">
      <c r="A25" t="s">
        <v>21</v>
      </c>
    </row>
    <row r="26" spans="1:7">
      <c r="A26" t="s">
        <v>22</v>
      </c>
    </row>
    <row r="28" spans="1:7">
      <c r="B28" t="s">
        <v>23</v>
      </c>
      <c r="D28">
        <f>100/1000</f>
        <v>0.1</v>
      </c>
      <c r="E28" t="s">
        <v>14</v>
      </c>
    </row>
    <row r="29" spans="1:7" ht="16.149999999999999">
      <c r="B29" t="s">
        <v>24</v>
      </c>
      <c r="D29">
        <f>PI()/4*D28^2</f>
        <v>7.8539816339744835E-3</v>
      </c>
      <c r="E29" t="s">
        <v>16</v>
      </c>
    </row>
    <row r="31" spans="1:7">
      <c r="B31" t="s">
        <v>25</v>
      </c>
      <c r="D31">
        <f>D3/D29</f>
        <v>0.19098593171027439</v>
      </c>
      <c r="E31" t="s">
        <v>18</v>
      </c>
    </row>
    <row r="32" spans="1:7" ht="15" thickBot="1"/>
    <row r="33" spans="2:7">
      <c r="B33" s="13" t="s">
        <v>26</v>
      </c>
      <c r="C33" s="14"/>
      <c r="D33" s="21">
        <f>D$4*D31*D28/D$5</f>
        <v>14691.225516174956</v>
      </c>
      <c r="E33" s="14"/>
      <c r="F33" s="14"/>
      <c r="G33" s="15"/>
    </row>
    <row r="34" spans="2:7">
      <c r="B34" s="16"/>
      <c r="G34" s="17"/>
    </row>
    <row r="35" spans="2:7" ht="15" thickBot="1">
      <c r="B35" s="18"/>
      <c r="C35" s="19"/>
      <c r="D35" s="19" t="s">
        <v>27</v>
      </c>
      <c r="E35" s="19"/>
      <c r="F35" s="19"/>
      <c r="G35" s="20"/>
    </row>
  </sheetData>
  <hyperlinks>
    <hyperlink ref="A8" r:id="rId1" xr:uid="{7C71919D-013F-440A-A138-FA09ED79C35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1438-94CE-4E13-8973-1916F3D87CCA}">
  <dimension ref="A1:O69"/>
  <sheetViews>
    <sheetView zoomScale="55" zoomScaleNormal="55" workbookViewId="0">
      <selection activeCell="E67" sqref="E67"/>
    </sheetView>
  </sheetViews>
  <sheetFormatPr defaultRowHeight="14.45"/>
  <cols>
    <col min="1" max="1" width="9.28515625" bestFit="1" customWidth="1"/>
    <col min="2" max="2" width="14" bestFit="1" customWidth="1"/>
    <col min="3" max="3" width="17.42578125" bestFit="1" customWidth="1"/>
    <col min="4" max="4" width="14.42578125" bestFit="1" customWidth="1"/>
    <col min="5" max="5" width="78.42578125" bestFit="1" customWidth="1"/>
    <col min="6" max="6" width="2.5703125" style="2" customWidth="1"/>
    <col min="7" max="7" width="14" bestFit="1" customWidth="1"/>
    <col min="8" max="8" width="17.42578125" bestFit="1" customWidth="1"/>
    <col min="9" max="9" width="14.42578125" bestFit="1" customWidth="1"/>
    <col min="15" max="15" width="32.140625" customWidth="1"/>
  </cols>
  <sheetData>
    <row r="1" spans="6:6">
      <c r="F1"/>
    </row>
    <row r="2" spans="6:6">
      <c r="F2"/>
    </row>
    <row r="3" spans="6:6">
      <c r="F3"/>
    </row>
    <row r="4" spans="6:6">
      <c r="F4"/>
    </row>
    <row r="5" spans="6:6">
      <c r="F5"/>
    </row>
    <row r="6" spans="6:6">
      <c r="F6"/>
    </row>
    <row r="7" spans="6:6">
      <c r="F7"/>
    </row>
    <row r="8" spans="6:6">
      <c r="F8"/>
    </row>
    <row r="9" spans="6:6">
      <c r="F9"/>
    </row>
    <row r="10" spans="6:6">
      <c r="F10"/>
    </row>
    <row r="11" spans="6:6">
      <c r="F11"/>
    </row>
    <row r="12" spans="6:6">
      <c r="F12"/>
    </row>
    <row r="13" spans="6:6">
      <c r="F13"/>
    </row>
    <row r="14" spans="6:6">
      <c r="F14"/>
    </row>
    <row r="15" spans="6:6">
      <c r="F15"/>
    </row>
    <row r="16" spans="6:6">
      <c r="F16"/>
    </row>
    <row r="17" spans="1:15" s="12" customFormat="1"/>
    <row r="19" spans="1:15">
      <c r="A19" t="s">
        <v>28</v>
      </c>
      <c r="C19" t="s">
        <v>29</v>
      </c>
      <c r="D19">
        <v>1</v>
      </c>
      <c r="E19" t="s">
        <v>30</v>
      </c>
      <c r="H19" t="s">
        <v>29</v>
      </c>
      <c r="I19">
        <v>1</v>
      </c>
      <c r="J19" t="s">
        <v>30</v>
      </c>
    </row>
    <row r="20" spans="1:15">
      <c r="D20">
        <f>D19/1000</f>
        <v>1E-3</v>
      </c>
      <c r="E20" t="s">
        <v>14</v>
      </c>
      <c r="I20">
        <f>I19/1000</f>
        <v>1E-3</v>
      </c>
      <c r="J20" t="s">
        <v>14</v>
      </c>
    </row>
    <row r="21" spans="1:15">
      <c r="C21" t="s">
        <v>31</v>
      </c>
      <c r="D21">
        <v>2300</v>
      </c>
      <c r="E21" t="s">
        <v>32</v>
      </c>
      <c r="H21" t="s">
        <v>31</v>
      </c>
      <c r="I21">
        <v>2300</v>
      </c>
      <c r="J21" t="s">
        <v>32</v>
      </c>
    </row>
    <row r="23" spans="1:15">
      <c r="A23" t="s">
        <v>33</v>
      </c>
      <c r="C23" t="s">
        <v>31</v>
      </c>
      <c r="D23">
        <v>1.21</v>
      </c>
      <c r="E23" t="s">
        <v>32</v>
      </c>
      <c r="H23" t="s">
        <v>31</v>
      </c>
      <c r="I23">
        <v>1.21</v>
      </c>
      <c r="J23" t="s">
        <v>32</v>
      </c>
    </row>
    <row r="24" spans="1:15">
      <c r="C24" t="s">
        <v>34</v>
      </c>
      <c r="D24" s="3">
        <v>1.8099999999999999E-5</v>
      </c>
      <c r="E24" t="s">
        <v>7</v>
      </c>
      <c r="H24" t="s">
        <v>34</v>
      </c>
      <c r="I24" s="3">
        <v>1.8099999999999999E-5</v>
      </c>
      <c r="J24" t="s">
        <v>7</v>
      </c>
    </row>
    <row r="25" spans="1:15">
      <c r="C25" t="s">
        <v>35</v>
      </c>
      <c r="D25" s="3">
        <f>D24/D23</f>
        <v>1.4958677685950413E-5</v>
      </c>
      <c r="E25" t="s">
        <v>36</v>
      </c>
      <c r="H25" t="s">
        <v>35</v>
      </c>
      <c r="I25" s="3">
        <f>I24/I23</f>
        <v>1.4958677685950413E-5</v>
      </c>
      <c r="J25" t="s">
        <v>36</v>
      </c>
    </row>
    <row r="27" spans="1:15">
      <c r="A27" s="2"/>
      <c r="B27" s="2"/>
      <c r="C27" s="2"/>
      <c r="D27" s="2"/>
      <c r="E27" s="2"/>
      <c r="G27" s="2"/>
      <c r="H27" s="2"/>
      <c r="I27" s="2"/>
      <c r="J27" s="2"/>
      <c r="K27" s="2"/>
      <c r="L27" s="2"/>
      <c r="M27" s="2"/>
      <c r="N27" s="2"/>
      <c r="O27" s="2"/>
    </row>
    <row r="29" spans="1:15">
      <c r="B29" s="1" t="s">
        <v>37</v>
      </c>
      <c r="C29" s="1" t="s">
        <v>38</v>
      </c>
      <c r="D29" s="1">
        <v>0.44500000000000001</v>
      </c>
      <c r="G29" s="1" t="s">
        <v>37</v>
      </c>
      <c r="H29" s="1" t="s">
        <v>38</v>
      </c>
      <c r="I29" s="1">
        <v>200</v>
      </c>
    </row>
    <row r="31" spans="1:15">
      <c r="C31" t="s">
        <v>39</v>
      </c>
      <c r="D31" s="6">
        <f>4/3*(D$21-D$23)*9.81*D$20/(D29*D$23)</f>
        <v>55.842089701922184</v>
      </c>
      <c r="H31" t="s">
        <v>39</v>
      </c>
      <c r="I31" s="6">
        <f>4/3*(I$21-I$23)*9.81*I$20/(I29*I$23)</f>
        <v>0.12424864958677687</v>
      </c>
    </row>
    <row r="32" spans="1:15">
      <c r="C32" t="s">
        <v>40</v>
      </c>
      <c r="D32" s="6">
        <f>SQRT(D31)</f>
        <v>7.472756499573781</v>
      </c>
      <c r="E32" t="s">
        <v>18</v>
      </c>
      <c r="H32" t="s">
        <v>40</v>
      </c>
      <c r="I32" s="6">
        <f>SQRT(I31)</f>
        <v>0.35248921910716202</v>
      </c>
      <c r="J32" t="s">
        <v>18</v>
      </c>
    </row>
    <row r="34" spans="2:10">
      <c r="C34" t="s">
        <v>41</v>
      </c>
      <c r="D34" s="4">
        <f>D$23*D32*D$20/D$24</f>
        <v>499.559964888634</v>
      </c>
      <c r="E34" s="5"/>
      <c r="H34" t="s">
        <v>41</v>
      </c>
      <c r="I34" s="4">
        <f>I$23*I32*I$20/I$24</f>
        <v>23.564196415451164</v>
      </c>
    </row>
    <row r="36" spans="2:10">
      <c r="B36" t="s">
        <v>42</v>
      </c>
      <c r="C36" t="s">
        <v>38</v>
      </c>
      <c r="D36" s="7">
        <f>0.28+6/D34^0.5+21/D34</f>
        <v>0.5904833046106891</v>
      </c>
      <c r="G36" t="s">
        <v>42</v>
      </c>
      <c r="H36" t="s">
        <v>38</v>
      </c>
      <c r="I36" s="7">
        <f>0.28+6/I34^0.5+21/I34</f>
        <v>2.4072009150616682</v>
      </c>
    </row>
    <row r="38" spans="2:10">
      <c r="C38" t="s">
        <v>39</v>
      </c>
      <c r="D38" s="6">
        <f>4/3*(D$21-D$23)*9.81*D$20/(D36*D$23)</f>
        <v>42.083712991240326</v>
      </c>
      <c r="H38" t="s">
        <v>39</v>
      </c>
      <c r="I38" s="6">
        <f>4/3*(I$21-I$23)*9.81*I$20/(I36*I$23)</f>
        <v>10.323080953431244</v>
      </c>
    </row>
    <row r="39" spans="2:10">
      <c r="C39" t="s">
        <v>40</v>
      </c>
      <c r="D39" s="6">
        <f>SQRT(D38)</f>
        <v>6.4871960808380322</v>
      </c>
      <c r="E39" t="s">
        <v>18</v>
      </c>
      <c r="H39" t="s">
        <v>40</v>
      </c>
      <c r="I39" s="6">
        <f>SQRT(I38)</f>
        <v>3.212955174513215</v>
      </c>
      <c r="J39" t="s">
        <v>18</v>
      </c>
    </row>
    <row r="41" spans="2:10">
      <c r="C41" t="s">
        <v>41</v>
      </c>
      <c r="D41" s="4">
        <f>D$23*D39*D$20/D$24</f>
        <v>433.67443413337122</v>
      </c>
      <c r="E41" s="5"/>
      <c r="H41" t="s">
        <v>41</v>
      </c>
      <c r="I41" s="4">
        <f>I$23*I39*I$20/I$24</f>
        <v>214.78871608624257</v>
      </c>
    </row>
    <row r="43" spans="2:10">
      <c r="B43" t="s">
        <v>42</v>
      </c>
      <c r="C43" t="s">
        <v>38</v>
      </c>
      <c r="D43" s="7">
        <f>0.28+6/D41^0.5+21/D41</f>
        <v>0.61654072425768403</v>
      </c>
      <c r="G43" t="s">
        <v>42</v>
      </c>
      <c r="H43" t="s">
        <v>38</v>
      </c>
      <c r="I43" s="7">
        <f>0.28+6/I41^0.5+21/I41</f>
        <v>0.78716831322031533</v>
      </c>
    </row>
    <row r="45" spans="2:10">
      <c r="C45" t="s">
        <v>39</v>
      </c>
      <c r="D45" s="6">
        <f>4/3*(D$21-D$23)*9.81*D$20/(D43*D$23)</f>
        <v>40.305090871774098</v>
      </c>
      <c r="H45" t="s">
        <v>39</v>
      </c>
      <c r="I45" s="6">
        <f>4/3*(I$21-I$23)*9.81*I$20/(I43*I$23)</f>
        <v>31.568508919896455</v>
      </c>
    </row>
    <row r="46" spans="2:10">
      <c r="C46" t="s">
        <v>40</v>
      </c>
      <c r="D46" s="6">
        <f>SQRT(D45)</f>
        <v>6.3486290545104378</v>
      </c>
      <c r="E46" t="s">
        <v>18</v>
      </c>
      <c r="H46" t="s">
        <v>40</v>
      </c>
      <c r="I46" s="6">
        <f>SQRT(I45)</f>
        <v>5.6185860249618367</v>
      </c>
      <c r="J46" t="s">
        <v>18</v>
      </c>
    </row>
    <row r="48" spans="2:10">
      <c r="C48" t="s">
        <v>41</v>
      </c>
      <c r="D48" s="4">
        <f>D$23*D46*D$20/D$24</f>
        <v>424.41111358881932</v>
      </c>
      <c r="E48" s="5"/>
      <c r="H48" t="s">
        <v>41</v>
      </c>
      <c r="I48" s="4">
        <f>I$23*I46*I$20/I$24</f>
        <v>375.60713205545983</v>
      </c>
    </row>
    <row r="50" spans="2:10">
      <c r="B50" t="s">
        <v>42</v>
      </c>
      <c r="C50" t="s">
        <v>38</v>
      </c>
      <c r="D50" s="7">
        <f>0.28+6/D48^0.5+21/D48</f>
        <v>0.62072492183249794</v>
      </c>
      <c r="G50" t="s">
        <v>42</v>
      </c>
      <c r="H50" t="s">
        <v>38</v>
      </c>
      <c r="I50" s="7">
        <f>0.28+6/I48^0.5+21/I48</f>
        <v>0.64549763602603893</v>
      </c>
    </row>
    <row r="52" spans="2:10" ht="15" thickBot="1">
      <c r="C52" t="s">
        <v>39</v>
      </c>
      <c r="D52" s="6">
        <f>4/3*(D$21-D$23)*9.81*D$20/(D50*D$23)</f>
        <v>40.033401339830611</v>
      </c>
      <c r="H52" t="s">
        <v>39</v>
      </c>
      <c r="I52" s="6">
        <f>4/3*(I$21-I$23)*9.81*I$20/(I50*I$23)</f>
        <v>38.497011500059081</v>
      </c>
    </row>
    <row r="53" spans="2:10" ht="15" thickBot="1">
      <c r="C53" s="8" t="s">
        <v>40</v>
      </c>
      <c r="D53" s="9">
        <f>SQRT(D52)</f>
        <v>6.3271953770869613</v>
      </c>
      <c r="E53" s="10" t="s">
        <v>18</v>
      </c>
      <c r="H53" t="s">
        <v>40</v>
      </c>
      <c r="I53" s="6">
        <f>SQRT(I52)</f>
        <v>6.2045959981338896</v>
      </c>
      <c r="J53" t="s">
        <v>18</v>
      </c>
    </row>
    <row r="55" spans="2:10">
      <c r="C55" t="s">
        <v>41</v>
      </c>
      <c r="D55" s="4">
        <f>D$23*D53*D$20/D$24</f>
        <v>422.97825449034383</v>
      </c>
      <c r="E55" s="5" t="s">
        <v>43</v>
      </c>
      <c r="H55" t="s">
        <v>41</v>
      </c>
      <c r="I55" s="4">
        <f>I$23*I53*I$20/I$24</f>
        <v>414.7823844056357</v>
      </c>
    </row>
    <row r="57" spans="2:10">
      <c r="G57" t="s">
        <v>42</v>
      </c>
      <c r="H57" t="s">
        <v>38</v>
      </c>
      <c r="I57" s="7">
        <f>0.28+6/I55^0.5+21/I55</f>
        <v>0.62523462644041516</v>
      </c>
    </row>
    <row r="59" spans="2:10">
      <c r="H59" t="s">
        <v>39</v>
      </c>
      <c r="I59" s="6">
        <f>4/3*(I$21-I$23)*9.81*I$20/(I57*I$23)</f>
        <v>39.744647635448175</v>
      </c>
    </row>
    <row r="60" spans="2:10">
      <c r="H60" t="s">
        <v>40</v>
      </c>
      <c r="I60" s="6">
        <f>SQRT(I59)</f>
        <v>6.3043356220499698</v>
      </c>
      <c r="J60" t="s">
        <v>18</v>
      </c>
    </row>
    <row r="62" spans="2:10">
      <c r="H62" t="s">
        <v>41</v>
      </c>
      <c r="I62" s="4">
        <f>I$23*I60*I$20/I$24</f>
        <v>421.45006092157257</v>
      </c>
    </row>
    <row r="64" spans="2:10">
      <c r="G64" t="s">
        <v>42</v>
      </c>
      <c r="H64" t="s">
        <v>38</v>
      </c>
      <c r="I64" s="7">
        <f>0.28+6/I62^0.5+21/I62</f>
        <v>0.62209389639480595</v>
      </c>
    </row>
    <row r="66" spans="8:10" ht="15" thickBot="1">
      <c r="H66" t="s">
        <v>39</v>
      </c>
      <c r="I66" s="6">
        <f>4/3*(I$21-I$23)*9.81*I$20/(I64*I$23)</f>
        <v>39.945304175729653</v>
      </c>
    </row>
    <row r="67" spans="8:10" ht="15" thickBot="1">
      <c r="H67" s="8" t="s">
        <v>40</v>
      </c>
      <c r="I67" s="9">
        <f>SQRT(I66)</f>
        <v>6.3202297565618339</v>
      </c>
      <c r="J67" s="10" t="s">
        <v>18</v>
      </c>
    </row>
    <row r="69" spans="8:10">
      <c r="H69" t="s">
        <v>41</v>
      </c>
      <c r="I69" s="4">
        <f>I$23*I67*I$20/I$24</f>
        <v>422.51259698562535</v>
      </c>
      <c r="J69" s="5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 Latulippe</dc:creator>
  <cp:keywords/>
  <dc:description/>
  <cp:lastModifiedBy>Griffin Smith</cp:lastModifiedBy>
  <cp:revision/>
  <dcterms:created xsi:type="dcterms:W3CDTF">2026-02-23T14:17:17Z</dcterms:created>
  <dcterms:modified xsi:type="dcterms:W3CDTF">2026-03-19T21:46:54Z</dcterms:modified>
  <cp:category/>
  <cp:contentStatus/>
</cp:coreProperties>
</file>