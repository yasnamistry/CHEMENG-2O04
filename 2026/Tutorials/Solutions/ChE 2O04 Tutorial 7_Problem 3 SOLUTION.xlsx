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aching\ChE 2O04 Winter 2026\Tutorials\"/>
    </mc:Choice>
  </mc:AlternateContent>
  <xr:revisionPtr revIDLastSave="0" documentId="13_ncr:1_{57CF89E9-923B-4CFD-9618-089D8CFC4A39}" xr6:coauthVersionLast="47" xr6:coauthVersionMax="47" xr10:uidLastSave="{00000000-0000-0000-0000-000000000000}"/>
  <bookViews>
    <workbookView xWindow="-108" yWindow="-108" windowWidth="23256" windowHeight="13896" xr2:uid="{195A68A0-2432-45FD-B21E-1005D7E6E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7" i="1"/>
  <c r="D3" i="1"/>
  <c r="E2" i="1"/>
  <c r="F2" i="1" s="1"/>
  <c r="G2" i="1" s="1"/>
  <c r="G3" i="1" s="1"/>
  <c r="F11" i="1" l="1"/>
  <c r="E11" i="1"/>
  <c r="G11" i="1"/>
  <c r="F3" i="1"/>
  <c r="E3" i="1"/>
  <c r="F7" i="1" l="1"/>
  <c r="G7" i="1"/>
  <c r="E7" i="1"/>
</calcChain>
</file>

<file path=xl/sharedStrings.xml><?xml version="1.0" encoding="utf-8"?>
<sst xmlns="http://schemas.openxmlformats.org/spreadsheetml/2006/main" count="10" uniqueCount="8">
  <si>
    <t>Smooth Pipe</t>
  </si>
  <si>
    <t>Wrought Iron</t>
  </si>
  <si>
    <t>Cast Iron</t>
  </si>
  <si>
    <t xml:space="preserve">ε = </t>
  </si>
  <si>
    <t>Reynolds Number</t>
  </si>
  <si>
    <t>64/Re</t>
  </si>
  <si>
    <t>Blasius</t>
  </si>
  <si>
    <t>Haaland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</si>
</sst>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16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0" fillId="0" borderId="2" xfId="0" applyNumberFormat="1" applyBorder="1"/>
    <xf numFmtId="0" fontId="0" fillId="4" borderId="0" xfId="0" applyFill="1"/>
    <xf numFmtId="164" fontId="0" fillId="4" borderId="1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145B-EA17-444D-9D07-B24B80C23D61}">
  <dimension ref="A1:G17"/>
  <sheetViews>
    <sheetView tabSelected="1" zoomScale="120" zoomScaleNormal="120" workbookViewId="0">
      <selection activeCell="J11" sqref="J11"/>
    </sheetView>
  </sheetViews>
  <sheetFormatPr defaultRowHeight="14.4" x14ac:dyDescent="0.3"/>
  <cols>
    <col min="3" max="3" width="7.88671875" bestFit="1" customWidth="1"/>
  </cols>
  <sheetData>
    <row r="1" spans="1:7" x14ac:dyDescent="0.3">
      <c r="D1" t="s">
        <v>4</v>
      </c>
    </row>
    <row r="2" spans="1:7" x14ac:dyDescent="0.3">
      <c r="D2" s="5">
        <v>700</v>
      </c>
      <c r="E2" s="5">
        <f>D2*10</f>
        <v>7000</v>
      </c>
      <c r="F2" s="5">
        <f>E2*10</f>
        <v>70000</v>
      </c>
      <c r="G2" s="5">
        <f>F2*10</f>
        <v>700000</v>
      </c>
    </row>
    <row r="3" spans="1:7" x14ac:dyDescent="0.3">
      <c r="A3" s="1" t="s">
        <v>0</v>
      </c>
      <c r="B3" s="1"/>
      <c r="C3" s="1"/>
      <c r="D3" s="8">
        <f>64/D2</f>
        <v>9.1428571428571428E-2</v>
      </c>
      <c r="E3" s="11">
        <f>0.316/(E2^(1/4))</f>
        <v>3.4547177600159351E-2</v>
      </c>
      <c r="F3" s="11">
        <f>0.316/(F2^(1/4))</f>
        <v>1.9427305633259957E-2</v>
      </c>
      <c r="G3" s="16">
        <f>(1/(-1.8*LOG((B5/3.7)^1.11+6.9/G2)))^2</f>
        <v>1.2314877758232933E-2</v>
      </c>
    </row>
    <row r="4" spans="1:7" x14ac:dyDescent="0.3">
      <c r="D4" s="9"/>
      <c r="E4" s="12"/>
      <c r="F4" s="12"/>
      <c r="G4" s="17"/>
    </row>
    <row r="5" spans="1:7" x14ac:dyDescent="0.3">
      <c r="A5" s="2" t="s">
        <v>3</v>
      </c>
      <c r="B5" s="3">
        <v>0</v>
      </c>
      <c r="C5" s="3"/>
      <c r="D5" s="10"/>
      <c r="E5" s="13"/>
      <c r="F5" s="13"/>
      <c r="G5" s="18"/>
    </row>
    <row r="6" spans="1:7" x14ac:dyDescent="0.3">
      <c r="D6" s="4"/>
      <c r="E6" s="4"/>
      <c r="F6" s="4"/>
      <c r="G6" s="4"/>
    </row>
    <row r="7" spans="1:7" x14ac:dyDescent="0.3">
      <c r="A7" s="1" t="s">
        <v>1</v>
      </c>
      <c r="B7" s="1"/>
      <c r="C7" s="1"/>
      <c r="D7" s="8">
        <f>64/D2</f>
        <v>9.1428571428571428E-2</v>
      </c>
      <c r="E7" s="16">
        <f>(1/(-1.8*LOG(($B9/3.7)^1.11+6.9/E$2)))^2</f>
        <v>3.6374360209396321E-2</v>
      </c>
      <c r="F7" s="16">
        <f>(1/(-1.8*LOG(($B9/3.7)^1.11+6.9/F$2)))^2</f>
        <v>2.5557043311332864E-2</v>
      </c>
      <c r="G7" s="16">
        <f>(1/(-1.8*LOG(($B9/3.7)^1.11+6.9/G$2)))^2</f>
        <v>2.3698820557762811E-2</v>
      </c>
    </row>
    <row r="8" spans="1:7" x14ac:dyDescent="0.3">
      <c r="D8" s="9"/>
      <c r="E8" s="17"/>
      <c r="F8" s="17"/>
      <c r="G8" s="17"/>
    </row>
    <row r="9" spans="1:7" x14ac:dyDescent="0.3">
      <c r="A9" s="2" t="s">
        <v>3</v>
      </c>
      <c r="B9" s="3">
        <v>2E-3</v>
      </c>
      <c r="C9" s="3"/>
      <c r="D9" s="10"/>
      <c r="E9" s="18"/>
      <c r="F9" s="18"/>
      <c r="G9" s="18"/>
    </row>
    <row r="10" spans="1:7" x14ac:dyDescent="0.3">
      <c r="D10" s="4"/>
      <c r="E10" s="4"/>
      <c r="F10" s="4"/>
      <c r="G10" s="4"/>
    </row>
    <row r="11" spans="1:7" x14ac:dyDescent="0.3">
      <c r="A11" s="1" t="s">
        <v>2</v>
      </c>
      <c r="B11" s="1"/>
      <c r="C11" s="1"/>
      <c r="D11" s="8">
        <f>64/D2</f>
        <v>9.1428571428571428E-2</v>
      </c>
      <c r="E11" s="16">
        <f>(1/(-1.8*LOG(($B13/3.7)^1.11+6.9/E$2)))^2</f>
        <v>4.4944871282691402E-2</v>
      </c>
      <c r="F11" s="16">
        <f>(1/(-1.8*LOG(($B13/3.7)^1.11+6.9/F$2)))^2</f>
        <v>3.8773705722967469E-2</v>
      </c>
      <c r="G11" s="16">
        <f>(1/(-1.8*LOG(($B13/3.7)^1.11+6.9/G$2)))^2</f>
        <v>3.806036527854325E-2</v>
      </c>
    </row>
    <row r="12" spans="1:7" x14ac:dyDescent="0.3">
      <c r="D12" s="9"/>
      <c r="E12" s="17"/>
      <c r="F12" s="17"/>
      <c r="G12" s="17"/>
    </row>
    <row r="13" spans="1:7" x14ac:dyDescent="0.3">
      <c r="A13" s="2" t="s">
        <v>3</v>
      </c>
      <c r="B13" s="14">
        <v>0.01</v>
      </c>
      <c r="C13" s="3"/>
      <c r="D13" s="10"/>
      <c r="E13" s="18"/>
      <c r="F13" s="18"/>
      <c r="G13" s="18"/>
    </row>
    <row r="15" spans="1:7" x14ac:dyDescent="0.3">
      <c r="C15" s="6" t="s">
        <v>5</v>
      </c>
    </row>
    <row r="16" spans="1:7" x14ac:dyDescent="0.3">
      <c r="C16" s="7" t="s">
        <v>6</v>
      </c>
    </row>
    <row r="17" spans="3:3" x14ac:dyDescent="0.3">
      <c r="C17" s="15" t="s">
        <v>7</v>
      </c>
    </row>
  </sheetData>
  <mergeCells count="12">
    <mergeCell ref="D11:D13"/>
    <mergeCell ref="E11:E13"/>
    <mergeCell ref="F11:F13"/>
    <mergeCell ref="G11:G13"/>
    <mergeCell ref="D3:D5"/>
    <mergeCell ref="E3:E5"/>
    <mergeCell ref="F3:F5"/>
    <mergeCell ref="G3:G5"/>
    <mergeCell ref="D7:D9"/>
    <mergeCell ref="E7:E9"/>
    <mergeCell ref="F7:F9"/>
    <mergeCell ref="G7:G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Latulippe</dc:creator>
  <cp:lastModifiedBy>Dave Latulippe</cp:lastModifiedBy>
  <cp:lastPrinted>2019-03-08T15:15:44Z</cp:lastPrinted>
  <dcterms:created xsi:type="dcterms:W3CDTF">2019-03-04T02:32:54Z</dcterms:created>
  <dcterms:modified xsi:type="dcterms:W3CDTF">2026-03-01T19:29:47Z</dcterms:modified>
</cp:coreProperties>
</file>