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aching\ChE 2O04 Winter 2026\Tutorials\"/>
    </mc:Choice>
  </mc:AlternateContent>
  <xr:revisionPtr revIDLastSave="0" documentId="13_ncr:1_{3232A98A-4B2B-494C-9687-1028F22C0604}" xr6:coauthVersionLast="47" xr6:coauthVersionMax="47" xr10:uidLastSave="{00000000-0000-0000-0000-000000000000}"/>
  <bookViews>
    <workbookView xWindow="-108" yWindow="-108" windowWidth="23256" windowHeight="13896" xr2:uid="{73FCFFCE-D38B-4C40-9A5F-3B8B3FA04762}"/>
  </bookViews>
  <sheets>
    <sheet name="Sheet1" sheetId="1" r:id="rId1"/>
  </sheets>
  <definedNames>
    <definedName name="solver_adj" localSheetId="0" hidden="1">Sheet1!#REF!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26.8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E18" i="1"/>
  <c r="E13" i="1"/>
  <c r="E16" i="1" s="1"/>
  <c r="E12" i="1"/>
  <c r="E19" i="1" l="1"/>
  <c r="E22" i="1"/>
  <c r="E24" i="1" s="1"/>
  <c r="E25" i="1" l="1"/>
  <c r="E27" i="1"/>
  <c r="E28" i="1" s="1"/>
  <c r="E30" i="1" s="1"/>
  <c r="E31" i="1" s="1"/>
</calcChain>
</file>

<file path=xl/sharedStrings.xml><?xml version="1.0" encoding="utf-8"?>
<sst xmlns="http://schemas.openxmlformats.org/spreadsheetml/2006/main" count="38" uniqueCount="23">
  <si>
    <t>New cast iron</t>
  </si>
  <si>
    <t>e</t>
  </si>
  <si>
    <t>mm</t>
  </si>
  <si>
    <t>D</t>
  </si>
  <si>
    <t>ε</t>
  </si>
  <si>
    <t>Re (initial guess)</t>
  </si>
  <si>
    <t>z1-z2</t>
  </si>
  <si>
    <t>m</t>
  </si>
  <si>
    <t>L</t>
  </si>
  <si>
    <t>SumK</t>
  </si>
  <si>
    <t>Vavg</t>
  </si>
  <si>
    <t>m/s</t>
  </si>
  <si>
    <t>density</t>
  </si>
  <si>
    <t>viscosity</t>
  </si>
  <si>
    <t>Re</t>
  </si>
  <si>
    <t>Q</t>
  </si>
  <si>
    <t>L/s</t>
  </si>
  <si>
    <t>Pa*s</t>
  </si>
  <si>
    <t>kg/m^3</t>
  </si>
  <si>
    <t xml:space="preserve"> </t>
  </si>
  <si>
    <t>Water at 10 C</t>
  </si>
  <si>
    <t>(From PIPE-FLO)</t>
  </si>
  <si>
    <t>f (Haaland Eq'n)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</si>
</sst>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2" borderId="0" xfId="0" applyFill="1"/>
    <xf numFmtId="0" fontId="0" fillId="2" borderId="1" xfId="0" applyFill="1" applyBorder="1"/>
    <xf numFmtId="164" fontId="0" fillId="0" borderId="0" xfId="0" applyNumberFormat="1"/>
    <xf numFmtId="164" fontId="0" fillId="2" borderId="0" xfId="0" applyNumberFormat="1" applyFill="1"/>
    <xf numFmtId="165" fontId="0" fillId="0" borderId="0" xfId="0" applyNumberFormat="1"/>
    <xf numFmtId="165" fontId="0" fillId="2" borderId="0" xfId="0" applyNumberFormat="1" applyFill="1"/>
    <xf numFmtId="165" fontId="0" fillId="0" borderId="2" xfId="0" applyNumberFormat="1" applyBorder="1"/>
    <xf numFmtId="165" fontId="0" fillId="2" borderId="2" xfId="0" applyNumberFormat="1" applyFill="1" applyBorder="1"/>
    <xf numFmtId="165" fontId="1" fillId="0" borderId="2" xfId="0" applyNumberFormat="1" applyFont="1" applyBorder="1"/>
    <xf numFmtId="1" fontId="0" fillId="0" borderId="1" xfId="0" applyNumberFormat="1" applyBorder="1"/>
    <xf numFmtId="1" fontId="0" fillId="2" borderId="1" xfId="0" applyNumberFormat="1" applyFill="1" applyBorder="1"/>
    <xf numFmtId="2" fontId="0" fillId="0" borderId="2" xfId="0" applyNumberFormat="1" applyBorder="1"/>
    <xf numFmtId="2" fontId="1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9A2E-CCC1-4480-9CA0-C8215BEC5951}">
  <sheetPr>
    <pageSetUpPr fitToPage="1"/>
  </sheetPr>
  <dimension ref="A1:H31"/>
  <sheetViews>
    <sheetView tabSelected="1" topLeftCell="A3" workbookViewId="0">
      <selection activeCell="C20" sqref="B16:C20"/>
    </sheetView>
  </sheetViews>
  <sheetFormatPr defaultRowHeight="14.4" x14ac:dyDescent="0.3"/>
  <cols>
    <col min="1" max="1" width="12.21875" bestFit="1" customWidth="1"/>
    <col min="3" max="3" width="15.44140625" bestFit="1" customWidth="1"/>
    <col min="4" max="4" width="14.21875" bestFit="1" customWidth="1"/>
    <col min="5" max="5" width="12.5546875" bestFit="1" customWidth="1"/>
    <col min="6" max="6" width="7.109375" bestFit="1" customWidth="1"/>
    <col min="7" max="7" width="1.77734375" style="6" customWidth="1"/>
  </cols>
  <sheetData>
    <row r="1" spans="1:8" x14ac:dyDescent="0.3">
      <c r="A1" t="s">
        <v>20</v>
      </c>
      <c r="C1" t="s">
        <v>12</v>
      </c>
      <c r="E1">
        <v>1000</v>
      </c>
      <c r="F1" t="s">
        <v>18</v>
      </c>
    </row>
    <row r="2" spans="1:8" x14ac:dyDescent="0.3">
      <c r="C2" t="s">
        <v>13</v>
      </c>
      <c r="E2">
        <v>1.2999999999999999E-3</v>
      </c>
      <c r="F2" t="s">
        <v>17</v>
      </c>
    </row>
    <row r="4" spans="1:8" x14ac:dyDescent="0.3">
      <c r="C4" t="s">
        <v>6</v>
      </c>
      <c r="E4">
        <v>12</v>
      </c>
      <c r="F4" t="s">
        <v>7</v>
      </c>
    </row>
    <row r="5" spans="1:8" x14ac:dyDescent="0.3">
      <c r="C5" t="s">
        <v>8</v>
      </c>
      <c r="E5">
        <v>69</v>
      </c>
      <c r="F5" t="s">
        <v>7</v>
      </c>
    </row>
    <row r="6" spans="1:8" x14ac:dyDescent="0.3">
      <c r="C6" t="s">
        <v>9</v>
      </c>
      <c r="D6" t="s">
        <v>21</v>
      </c>
      <c r="E6">
        <v>3.0059999999999998</v>
      </c>
      <c r="H6" t="s">
        <v>19</v>
      </c>
    </row>
    <row r="9" spans="1:8" x14ac:dyDescent="0.3">
      <c r="C9" s="2"/>
      <c r="D9" s="2"/>
      <c r="E9" s="2" t="s">
        <v>0</v>
      </c>
      <c r="F9" s="2"/>
    </row>
    <row r="10" spans="1:8" x14ac:dyDescent="0.3">
      <c r="C10" s="2" t="s">
        <v>1</v>
      </c>
      <c r="D10" s="2"/>
      <c r="E10" s="2">
        <v>0.25</v>
      </c>
      <c r="F10" s="2" t="s">
        <v>2</v>
      </c>
    </row>
    <row r="11" spans="1:8" x14ac:dyDescent="0.3">
      <c r="C11" t="s">
        <v>3</v>
      </c>
      <c r="D11" t="s">
        <v>21</v>
      </c>
      <c r="E11">
        <v>139.69999999999999</v>
      </c>
      <c r="F11" t="s">
        <v>2</v>
      </c>
    </row>
    <row r="12" spans="1:8" x14ac:dyDescent="0.3">
      <c r="E12">
        <f>E11/1000</f>
        <v>0.13969999999999999</v>
      </c>
      <c r="F12" t="s">
        <v>7</v>
      </c>
    </row>
    <row r="13" spans="1:8" x14ac:dyDescent="0.3">
      <c r="C13" s="1" t="s">
        <v>4</v>
      </c>
      <c r="D13" s="1"/>
      <c r="E13">
        <f>E10/E11</f>
        <v>1.7895490336435221E-3</v>
      </c>
    </row>
    <row r="15" spans="1:8" s="3" customFormat="1" x14ac:dyDescent="0.3">
      <c r="C15" s="3" t="s">
        <v>5</v>
      </c>
      <c r="E15" s="3">
        <v>10000000</v>
      </c>
      <c r="G15" s="7"/>
    </row>
    <row r="16" spans="1:8" x14ac:dyDescent="0.3">
      <c r="C16" t="s">
        <v>22</v>
      </c>
      <c r="E16" s="8">
        <f>(1/(-1.8*LOG((E$13/3.7)^1.11+6.9/E15)))^2</f>
        <v>2.2806575958545058E-2</v>
      </c>
      <c r="F16" s="8"/>
      <c r="G16" s="9"/>
    </row>
    <row r="17" spans="3:7" x14ac:dyDescent="0.3">
      <c r="E17" s="10"/>
      <c r="F17" s="10"/>
      <c r="G17" s="11"/>
    </row>
    <row r="18" spans="3:7" x14ac:dyDescent="0.3">
      <c r="C18" t="s">
        <v>10</v>
      </c>
      <c r="E18" s="10">
        <f>SQRT((E$4*2*9.81)/(E16*E$5/E$12+E$6))</f>
        <v>4.0618155033823866</v>
      </c>
      <c r="F18" s="10" t="s">
        <v>11</v>
      </c>
      <c r="G18" s="11"/>
    </row>
    <row r="19" spans="3:7" s="4" customFormat="1" x14ac:dyDescent="0.3">
      <c r="C19" s="4" t="s">
        <v>15</v>
      </c>
      <c r="E19" s="17">
        <f>E18*(PI()/4*E$12^2)*1000</f>
        <v>62.259106901910179</v>
      </c>
      <c r="F19" s="12" t="s">
        <v>16</v>
      </c>
      <c r="G19" s="13"/>
    </row>
    <row r="20" spans="3:7" x14ac:dyDescent="0.3">
      <c r="E20" s="10"/>
      <c r="F20" s="10"/>
      <c r="G20" s="11"/>
    </row>
    <row r="21" spans="3:7" s="3" customFormat="1" x14ac:dyDescent="0.3">
      <c r="C21" s="3" t="s">
        <v>14</v>
      </c>
      <c r="E21" s="15">
        <f>E$1*E18*E$12/E$2</f>
        <v>436488.94294039952</v>
      </c>
      <c r="F21" s="15"/>
      <c r="G21" s="16"/>
    </row>
    <row r="22" spans="3:7" x14ac:dyDescent="0.3">
      <c r="C22" t="s">
        <v>22</v>
      </c>
      <c r="E22" s="8">
        <f>(1/(-1.8*LOG((E$13/3.7)^1.11+6.9/E21)))^2</f>
        <v>2.3186384410490635E-2</v>
      </c>
      <c r="F22" s="8"/>
      <c r="G22" s="9"/>
    </row>
    <row r="23" spans="3:7" x14ac:dyDescent="0.3">
      <c r="E23" s="10"/>
      <c r="F23" s="10"/>
      <c r="G23" s="11"/>
    </row>
    <row r="24" spans="3:7" x14ac:dyDescent="0.3">
      <c r="C24" t="s">
        <v>10</v>
      </c>
      <c r="E24" s="10">
        <f>SQRT((E$4*2*9.81)/(E22*E$5/E$12+E$6))</f>
        <v>4.0353785466284755</v>
      </c>
      <c r="F24" s="10" t="s">
        <v>11</v>
      </c>
      <c r="G24" s="11"/>
    </row>
    <row r="25" spans="3:7" s="4" customFormat="1" x14ac:dyDescent="0.3">
      <c r="C25" s="4" t="s">
        <v>15</v>
      </c>
      <c r="E25" s="17">
        <f>E24*(PI()/4*E$12^2)*1000</f>
        <v>61.853883839628722</v>
      </c>
      <c r="F25" s="12" t="s">
        <v>16</v>
      </c>
      <c r="G25" s="13"/>
    </row>
    <row r="26" spans="3:7" x14ac:dyDescent="0.3">
      <c r="E26" s="10"/>
      <c r="F26" s="10"/>
      <c r="G26" s="11"/>
    </row>
    <row r="27" spans="3:7" s="3" customFormat="1" x14ac:dyDescent="0.3">
      <c r="C27" s="3" t="s">
        <v>14</v>
      </c>
      <c r="E27" s="15">
        <f>E$1*E24*E$12/E$2</f>
        <v>433647.9868953831</v>
      </c>
      <c r="F27" s="15"/>
      <c r="G27" s="16"/>
    </row>
    <row r="28" spans="3:7" x14ac:dyDescent="0.3">
      <c r="C28" t="s">
        <v>22</v>
      </c>
      <c r="E28" s="8">
        <f>(1/(-1.8*LOG((E$13/3.7)^1.11+6.9/E27)))^2</f>
        <v>2.3188928583950916E-2</v>
      </c>
      <c r="F28" s="8"/>
      <c r="G28" s="9"/>
    </row>
    <row r="29" spans="3:7" x14ac:dyDescent="0.3">
      <c r="E29" s="10"/>
      <c r="F29" s="10"/>
      <c r="G29" s="11"/>
    </row>
    <row r="30" spans="3:7" x14ac:dyDescent="0.3">
      <c r="C30" t="s">
        <v>10</v>
      </c>
      <c r="E30" s="10">
        <f>SQRT((E$4*2*9.81)/(E28*E$5/E$12+E$6))</f>
        <v>4.0352031934300374</v>
      </c>
      <c r="F30" s="10" t="s">
        <v>11</v>
      </c>
      <c r="G30" s="11"/>
    </row>
    <row r="31" spans="3:7" s="4" customFormat="1" x14ac:dyDescent="0.3">
      <c r="C31" s="5" t="s">
        <v>15</v>
      </c>
      <c r="D31" s="5"/>
      <c r="E31" s="18">
        <f>E30*(PI()/4*E$12^2)*1000</f>
        <v>61.851196043120467</v>
      </c>
      <c r="F31" s="14" t="s">
        <v>16</v>
      </c>
      <c r="G31" s="13"/>
    </row>
  </sheetData>
  <pageMargins left="0.7" right="0.7" top="0.75" bottom="0.75" header="0.3" footer="0.3"/>
  <pageSetup scale="83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Latulippe</dc:creator>
  <cp:lastModifiedBy>Dave Latulippe</cp:lastModifiedBy>
  <cp:lastPrinted>2023-03-03T22:36:57Z</cp:lastPrinted>
  <dcterms:created xsi:type="dcterms:W3CDTF">2021-03-03T03:15:28Z</dcterms:created>
  <dcterms:modified xsi:type="dcterms:W3CDTF">2026-03-09T10:31:23Z</dcterms:modified>
</cp:coreProperties>
</file>