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aching\ChE 2O04 Winter 2026\Tutorials\"/>
    </mc:Choice>
  </mc:AlternateContent>
  <xr:revisionPtr revIDLastSave="0" documentId="13_ncr:1_{2FF9E6C0-3368-4C0C-B1F8-68514B3632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24" i="1" s="1"/>
  <c r="D11" i="1" l="1"/>
  <c r="C11" i="1"/>
  <c r="C19" i="1" s="1"/>
  <c r="C28" i="1" s="1"/>
  <c r="D19" i="1" l="1"/>
  <c r="D28" i="1" s="1"/>
  <c r="D12" i="1"/>
  <c r="C12" i="1"/>
  <c r="C14" i="1" l="1"/>
  <c r="D14" i="1"/>
  <c r="F14" i="1" s="1"/>
  <c r="F19" i="1" l="1"/>
  <c r="C30" i="1" l="1"/>
  <c r="D31" i="1" l="1"/>
  <c r="D33" i="1" s="1"/>
  <c r="D35" i="1" s="1"/>
  <c r="C33" i="1"/>
  <c r="C35" i="1" s="1"/>
  <c r="C37" i="1" s="1"/>
  <c r="C40" i="1" s="1"/>
  <c r="C42" i="1" s="1"/>
  <c r="D38" i="1" l="1"/>
  <c r="D40" i="1" s="1"/>
  <c r="D42" i="1" s="1"/>
  <c r="C44" i="1" s="1"/>
  <c r="D45" i="1" s="1"/>
  <c r="D51" i="1" l="1"/>
  <c r="C51" i="1"/>
  <c r="C47" i="1"/>
  <c r="C49" i="1" s="1"/>
  <c r="D47" i="1" l="1"/>
  <c r="D49" i="1" s="1"/>
</calcChain>
</file>

<file path=xl/sharedStrings.xml><?xml version="1.0" encoding="utf-8"?>
<sst xmlns="http://schemas.openxmlformats.org/spreadsheetml/2006/main" count="71" uniqueCount="40">
  <si>
    <t>mm</t>
  </si>
  <si>
    <t>e</t>
  </si>
  <si>
    <t>e/D</t>
  </si>
  <si>
    <t>Re</t>
  </si>
  <si>
    <t>density</t>
  </si>
  <si>
    <t>kg/m3</t>
  </si>
  <si>
    <t>viscosity</t>
  </si>
  <si>
    <t>Pa*s</t>
  </si>
  <si>
    <t>m</t>
  </si>
  <si>
    <t>A</t>
  </si>
  <si>
    <t>m2</t>
  </si>
  <si>
    <t>Q</t>
  </si>
  <si>
    <t>f</t>
  </si>
  <si>
    <t>m/s</t>
  </si>
  <si>
    <t>DeltaP</t>
  </si>
  <si>
    <t>Pa</t>
  </si>
  <si>
    <t>cm</t>
  </si>
  <si>
    <t>DeltaP/density</t>
  </si>
  <si>
    <t>Guess</t>
  </si>
  <si>
    <t>Given</t>
  </si>
  <si>
    <t>Solve</t>
  </si>
  <si>
    <t>using Bernoulli equation</t>
  </si>
  <si>
    <t>using continuity equation</t>
  </si>
  <si>
    <t>Calculate</t>
  </si>
  <si>
    <t>Upstream (wrought iron)</t>
  </si>
  <si>
    <t>Downstream (galvanized iron)</t>
  </si>
  <si>
    <t>K-contraction</t>
  </si>
  <si>
    <t>V1</t>
  </si>
  <si>
    <t>V2</t>
  </si>
  <si>
    <t>Roughness</t>
  </si>
  <si>
    <t>Relative Roughness</t>
  </si>
  <si>
    <t>Internal diameter</t>
  </si>
  <si>
    <t>Length</t>
  </si>
  <si>
    <t>2" SCHEDULE 160</t>
  </si>
  <si>
    <t>1" SCHEDULE 160</t>
  </si>
  <si>
    <t>using Haaland equation</t>
  </si>
  <si>
    <t>CONVERGED!!!!!</t>
  </si>
  <si>
    <t>m^3/s</t>
  </si>
  <si>
    <t>Area Ratio (AR)</t>
  </si>
  <si>
    <t>A1/A2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</si>
</sst>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.000_);_(* \(#,##0.000\);_(* &quot;-&quot;??_);_(@_)"/>
    <numFmt numFmtId="166" formatCode="0.0000"/>
    <numFmt numFmtId="167" formatCode="_(* #,##0_);_(* \(#,##0\);_(* &quot;-&quot;??_);_(@_)"/>
    <numFmt numFmtId="168" formatCode="_-* #,##0.00000_-;\-* #,##0.00000_-;_-* &quot;-&quot;??_-;_-@_-"/>
    <numFmt numFmtId="169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11" fontId="0" fillId="0" borderId="0" xfId="0" applyNumberFormat="1"/>
    <xf numFmtId="167" fontId="0" fillId="0" borderId="0" xfId="1" applyNumberFormat="1" applyFont="1" applyFill="1"/>
    <xf numFmtId="167" fontId="0" fillId="0" borderId="0" xfId="0" applyNumberFormat="1"/>
    <xf numFmtId="0" fontId="0" fillId="2" borderId="0" xfId="0" applyFill="1"/>
    <xf numFmtId="165" fontId="0" fillId="2" borderId="0" xfId="1" applyNumberFormat="1" applyFont="1" applyFill="1"/>
    <xf numFmtId="0" fontId="0" fillId="3" borderId="0" xfId="0" applyFill="1"/>
    <xf numFmtId="164" fontId="0" fillId="3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69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0" xfId="0" applyFill="1"/>
    <xf numFmtId="166" fontId="0" fillId="4" borderId="0" xfId="0" applyNumberFormat="1" applyFill="1" applyAlignment="1">
      <alignment horizontal="center"/>
    </xf>
    <xf numFmtId="0" fontId="2" fillId="0" borderId="0" xfId="0" applyFont="1"/>
    <xf numFmtId="166" fontId="0" fillId="0" borderId="0" xfId="0" applyNumberFormat="1"/>
    <xf numFmtId="0" fontId="0" fillId="5" borderId="0" xfId="0" applyFill="1"/>
    <xf numFmtId="3" fontId="0" fillId="5" borderId="0" xfId="0" applyNumberFormat="1" applyFill="1"/>
    <xf numFmtId="166" fontId="0" fillId="5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168" fontId="2" fillId="0" borderId="10" xfId="0" applyNumberFormat="1" applyFont="1" applyBorder="1"/>
    <xf numFmtId="0" fontId="2" fillId="0" borderId="11" xfId="0" applyFont="1" applyBorder="1"/>
    <xf numFmtId="0" fontId="0" fillId="6" borderId="0" xfId="0" applyFill="1" applyAlignment="1">
      <alignment horizontal="center"/>
    </xf>
    <xf numFmtId="169" fontId="0" fillId="6" borderId="0" xfId="0" applyNumberForma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32425</xdr:colOff>
      <xdr:row>1</xdr:row>
      <xdr:rowOff>8105</xdr:rowOff>
    </xdr:from>
    <xdr:to>
      <xdr:col>19</xdr:col>
      <xdr:colOff>51880</xdr:colOff>
      <xdr:row>24</xdr:row>
      <xdr:rowOff>110854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8C0927F-22A0-646A-CB44-A81494922F9E}"/>
            </a:ext>
          </a:extLst>
        </xdr:cNvPr>
        <xdr:cNvGrpSpPr/>
      </xdr:nvGrpSpPr>
      <xdr:grpSpPr>
        <a:xfrm>
          <a:off x="8138808" y="194552"/>
          <a:ext cx="7315200" cy="4391025"/>
          <a:chOff x="8138808" y="194552"/>
          <a:chExt cx="7315200" cy="4391025"/>
        </a:xfrm>
      </xdr:grpSpPr>
      <xdr:pic>
        <xdr:nvPicPr>
          <xdr:cNvPr id="2" name="Picture 1" descr="c08f015">
            <a:extLst>
              <a:ext uri="{FF2B5EF4-FFF2-40B4-BE49-F238E27FC236}">
                <a16:creationId xmlns:a16="http://schemas.microsoft.com/office/drawing/2014/main" id="{5F9CAB94-68CF-4906-ADCD-0410CEB6BAFD}"/>
              </a:ext>
            </a:extLst>
          </xdr:cNvPr>
          <xdr:cNvPicPr preferRelativeResize="0"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8138808" y="194552"/>
            <a:ext cx="7315200" cy="43910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12A44AF7-0466-459B-9D3B-28E20F0641D7}"/>
              </a:ext>
            </a:extLst>
          </xdr:cNvPr>
          <xdr:cNvSpPr/>
        </xdr:nvSpPr>
        <xdr:spPr>
          <a:xfrm>
            <a:off x="9604442" y="3070707"/>
            <a:ext cx="1087878" cy="851170"/>
          </a:xfrm>
          <a:prstGeom prst="rect">
            <a:avLst/>
          </a:prstGeom>
          <a:solidFill>
            <a:schemeClr val="accent1">
              <a:alpha val="2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CA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F51"/>
  <sheetViews>
    <sheetView tabSelected="1" zoomScale="94" zoomScaleNormal="94" workbookViewId="0">
      <selection activeCell="A3" sqref="A3"/>
    </sheetView>
  </sheetViews>
  <sheetFormatPr defaultRowHeight="14.4" x14ac:dyDescent="0.3"/>
  <cols>
    <col min="1" max="1" width="17" bestFit="1" customWidth="1"/>
    <col min="2" max="2" width="15.44140625" bestFit="1" customWidth="1"/>
    <col min="3" max="3" width="21.77734375" bestFit="1" customWidth="1"/>
    <col min="4" max="4" width="26.44140625" bestFit="1" customWidth="1"/>
    <col min="5" max="5" width="6.21875" bestFit="1" customWidth="1"/>
    <col min="6" max="6" width="22.33203125" bestFit="1" customWidth="1"/>
  </cols>
  <sheetData>
    <row r="4" spans="2:6" x14ac:dyDescent="0.3">
      <c r="C4" t="s">
        <v>24</v>
      </c>
      <c r="D4" t="s">
        <v>25</v>
      </c>
    </row>
    <row r="6" spans="2:6" x14ac:dyDescent="0.3">
      <c r="B6" t="s">
        <v>4</v>
      </c>
      <c r="C6">
        <v>1595</v>
      </c>
      <c r="D6">
        <v>1595</v>
      </c>
      <c r="E6" t="s">
        <v>5</v>
      </c>
    </row>
    <row r="7" spans="2:6" x14ac:dyDescent="0.3">
      <c r="B7" t="s">
        <v>6</v>
      </c>
      <c r="C7">
        <v>1E-3</v>
      </c>
      <c r="D7">
        <v>1E-3</v>
      </c>
      <c r="E7" t="s">
        <v>7</v>
      </c>
    </row>
    <row r="9" spans="2:6" x14ac:dyDescent="0.3">
      <c r="B9" s="8" t="s">
        <v>31</v>
      </c>
      <c r="C9" s="9" t="s">
        <v>33</v>
      </c>
      <c r="D9" s="9" t="s">
        <v>34</v>
      </c>
      <c r="E9" s="10"/>
    </row>
    <row r="10" spans="2:6" x14ac:dyDescent="0.3">
      <c r="B10" s="11"/>
      <c r="C10" s="12">
        <v>4.2859999999999996</v>
      </c>
      <c r="D10" s="12">
        <v>2.0699999999999998</v>
      </c>
      <c r="E10" s="13" t="s">
        <v>16</v>
      </c>
    </row>
    <row r="11" spans="2:6" x14ac:dyDescent="0.3">
      <c r="B11" s="11"/>
      <c r="C11">
        <f>C10*10</f>
        <v>42.86</v>
      </c>
      <c r="D11">
        <f>D10*10</f>
        <v>20.7</v>
      </c>
      <c r="E11" s="13" t="s">
        <v>0</v>
      </c>
    </row>
    <row r="12" spans="2:6" x14ac:dyDescent="0.3">
      <c r="B12" s="14"/>
      <c r="C12" s="15">
        <f>C11/1000</f>
        <v>4.2860000000000002E-2</v>
      </c>
      <c r="D12" s="15">
        <f>D11/1000</f>
        <v>2.07E-2</v>
      </c>
      <c r="E12" s="16" t="s">
        <v>8</v>
      </c>
    </row>
    <row r="13" spans="2:6" x14ac:dyDescent="0.3">
      <c r="F13" s="24" t="s">
        <v>38</v>
      </c>
    </row>
    <row r="14" spans="2:6" x14ac:dyDescent="0.3">
      <c r="B14" t="s">
        <v>9</v>
      </c>
      <c r="C14">
        <f>PI()/4*C12^2</f>
        <v>1.4427604040385795E-3</v>
      </c>
      <c r="D14">
        <f>PI()/4*D12^2</f>
        <v>3.3653525903417264E-4</v>
      </c>
      <c r="E14" t="s">
        <v>10</v>
      </c>
      <c r="F14" s="25">
        <f>D14/C14</f>
        <v>0.23325789791024351</v>
      </c>
    </row>
    <row r="15" spans="2:6" x14ac:dyDescent="0.3">
      <c r="F15" s="24" t="s">
        <v>26</v>
      </c>
    </row>
    <row r="16" spans="2:6" x14ac:dyDescent="0.3">
      <c r="F16" s="24">
        <v>0.4</v>
      </c>
    </row>
    <row r="18" spans="1:6" x14ac:dyDescent="0.3">
      <c r="A18" t="s">
        <v>29</v>
      </c>
      <c r="B18" t="s">
        <v>1</v>
      </c>
      <c r="C18">
        <v>4.5999999999999999E-2</v>
      </c>
      <c r="D18">
        <v>0.15</v>
      </c>
      <c r="E18" t="s">
        <v>0</v>
      </c>
      <c r="F18" s="30" t="s">
        <v>39</v>
      </c>
    </row>
    <row r="19" spans="1:6" x14ac:dyDescent="0.3">
      <c r="A19" t="s">
        <v>30</v>
      </c>
      <c r="B19" t="s">
        <v>2</v>
      </c>
      <c r="C19" s="20">
        <f>C18/C11</f>
        <v>1.0732617825478302E-3</v>
      </c>
      <c r="D19" s="20">
        <f>D18/D11</f>
        <v>7.246376811594203E-3</v>
      </c>
      <c r="F19" s="31">
        <f>C14/D14</f>
        <v>4.2871002823869873</v>
      </c>
    </row>
    <row r="21" spans="1:6" x14ac:dyDescent="0.3">
      <c r="B21" t="s">
        <v>32</v>
      </c>
      <c r="C21">
        <v>1.5</v>
      </c>
      <c r="D21">
        <v>3</v>
      </c>
      <c r="E21" t="s">
        <v>8</v>
      </c>
    </row>
    <row r="23" spans="1:6" x14ac:dyDescent="0.3">
      <c r="A23" t="s">
        <v>19</v>
      </c>
      <c r="B23" t="s">
        <v>14</v>
      </c>
      <c r="C23" s="2">
        <f>(192-20)*1000</f>
        <v>172000</v>
      </c>
      <c r="D23" s="1" t="s">
        <v>15</v>
      </c>
    </row>
    <row r="24" spans="1:6" x14ac:dyDescent="0.3">
      <c r="B24" t="s">
        <v>17</v>
      </c>
      <c r="C24" s="1">
        <f>C23/C6</f>
        <v>107.83699059561128</v>
      </c>
    </row>
    <row r="25" spans="1:6" x14ac:dyDescent="0.3">
      <c r="C25" s="1"/>
    </row>
    <row r="26" spans="1:6" x14ac:dyDescent="0.3">
      <c r="A26" s="21" t="s">
        <v>18</v>
      </c>
      <c r="B26" s="21" t="s">
        <v>3</v>
      </c>
      <c r="C26" s="22">
        <v>100000000</v>
      </c>
      <c r="D26" s="22">
        <v>100000000</v>
      </c>
    </row>
    <row r="27" spans="1:6" x14ac:dyDescent="0.3">
      <c r="A27" s="21"/>
      <c r="B27" s="21"/>
      <c r="C27" s="22"/>
      <c r="D27" s="22"/>
    </row>
    <row r="28" spans="1:6" x14ac:dyDescent="0.3">
      <c r="A28" s="21"/>
      <c r="B28" s="21" t="s">
        <v>12</v>
      </c>
      <c r="C28" s="23">
        <f>(1/(-1.8*LOG10((C$19/3.7)^1.11+6.9/C26)))^2</f>
        <v>2.0020414758607736E-2</v>
      </c>
      <c r="D28" s="23">
        <f>(1/(-1.8*LOG10((D$19/3.7)^1.11+6.9/D26)))^2</f>
        <v>3.4158168077400734E-2</v>
      </c>
    </row>
    <row r="30" spans="1:6" x14ac:dyDescent="0.3">
      <c r="A30" t="s">
        <v>20</v>
      </c>
      <c r="B30" s="4" t="s">
        <v>27</v>
      </c>
      <c r="C30" s="5">
        <f>SQRT(2*C$24/($F$19^2+C28*$C$21/$C$12+D28*$D$21/$D$12*$F$19^2+$F$16*$F$19^2-1))</f>
        <v>1.3611007864848905</v>
      </c>
      <c r="E30" t="s">
        <v>13</v>
      </c>
      <c r="F30" s="4" t="s">
        <v>21</v>
      </c>
    </row>
    <row r="31" spans="1:6" x14ac:dyDescent="0.3">
      <c r="B31" s="6" t="s">
        <v>28</v>
      </c>
      <c r="D31" s="7">
        <f>($C$14/$D$14)*C30</f>
        <v>5.8351755660965248</v>
      </c>
      <c r="E31" t="s">
        <v>13</v>
      </c>
      <c r="F31" s="6" t="s">
        <v>22</v>
      </c>
    </row>
    <row r="33" spans="1:6" x14ac:dyDescent="0.3">
      <c r="A33" t="s">
        <v>23</v>
      </c>
      <c r="B33" t="s">
        <v>3</v>
      </c>
      <c r="C33" s="3">
        <f>C$6*C30*C$12/C$7</f>
        <v>93047.163635444143</v>
      </c>
      <c r="D33" s="3">
        <f>D$6*D31*D$12/D$7</f>
        <v>192657.07407802591</v>
      </c>
    </row>
    <row r="35" spans="1:6" x14ac:dyDescent="0.3">
      <c r="A35" t="s">
        <v>23</v>
      </c>
      <c r="B35" s="17" t="s">
        <v>12</v>
      </c>
      <c r="C35" s="18">
        <f>(1/(-1.8*LOG10((C$19/3.7)^1.11+6.9/C33)))^2</f>
        <v>2.2358246689229738E-2</v>
      </c>
      <c r="D35" s="18">
        <f>(1/(-1.8*LOG10((D$19/3.7)^1.11+6.9/D33)))^2</f>
        <v>3.4512248859208623E-2</v>
      </c>
      <c r="E35" s="17"/>
      <c r="F35" s="17" t="s">
        <v>35</v>
      </c>
    </row>
    <row r="37" spans="1:6" x14ac:dyDescent="0.3">
      <c r="A37" t="s">
        <v>20</v>
      </c>
      <c r="B37" s="4" t="s">
        <v>27</v>
      </c>
      <c r="C37" s="5">
        <f>SQRT(2*C$24/($F$19^2+C35*$C$21/$C$12+D35*$D$21/$D$12*$F$19^2+$F$16*$F$19^2-1))</f>
        <v>1.3551483158157329</v>
      </c>
      <c r="E37" t="s">
        <v>13</v>
      </c>
      <c r="F37" s="4" t="s">
        <v>21</v>
      </c>
    </row>
    <row r="38" spans="1:6" x14ac:dyDescent="0.3">
      <c r="B38" s="6" t="s">
        <v>28</v>
      </c>
      <c r="D38" s="7">
        <f>($C$14/$D$14)*C37</f>
        <v>5.8096567274098785</v>
      </c>
      <c r="E38" t="s">
        <v>13</v>
      </c>
      <c r="F38" s="6" t="s">
        <v>22</v>
      </c>
    </row>
    <row r="40" spans="1:6" x14ac:dyDescent="0.3">
      <c r="A40" t="s">
        <v>23</v>
      </c>
      <c r="B40" t="s">
        <v>3</v>
      </c>
      <c r="C40" s="3">
        <f>C$6*C37*C$12/C$7</f>
        <v>92640.242621300407</v>
      </c>
      <c r="D40" s="3">
        <f>D$6*D38*D$12/D$7</f>
        <v>191814.53134052825</v>
      </c>
    </row>
    <row r="42" spans="1:6" x14ac:dyDescent="0.3">
      <c r="A42" t="s">
        <v>23</v>
      </c>
      <c r="B42" s="17" t="s">
        <v>12</v>
      </c>
      <c r="C42" s="18">
        <f>(1/(-1.8*LOG10((C$19/3.7)^1.11+6.9/C40)))^2</f>
        <v>2.2367083336741689E-2</v>
      </c>
      <c r="D42" s="18">
        <f>(1/(-1.8*LOG10((D$19/3.7)^1.11+6.9/D40)))^2</f>
        <v>3.4513791561598998E-2</v>
      </c>
      <c r="E42" s="17"/>
      <c r="F42" s="17" t="s">
        <v>35</v>
      </c>
    </row>
    <row r="44" spans="1:6" x14ac:dyDescent="0.3">
      <c r="A44" t="s">
        <v>20</v>
      </c>
      <c r="B44" s="4" t="s">
        <v>27</v>
      </c>
      <c r="C44" s="5">
        <f>SQRT(2*C$24/($F$19^2+C42*$C$21/$C$12+D42*$D$21/$D$12*$F$19^2+$F$16*$F$19^2-1))</f>
        <v>1.3551228243700975</v>
      </c>
      <c r="E44" t="s">
        <v>13</v>
      </c>
      <c r="F44" s="4" t="s">
        <v>21</v>
      </c>
    </row>
    <row r="45" spans="1:6" x14ac:dyDescent="0.3">
      <c r="B45" s="6" t="s">
        <v>28</v>
      </c>
      <c r="D45" s="7">
        <f>($C$14/$D$14)*C44</f>
        <v>5.8095474430260969</v>
      </c>
      <c r="E45" t="s">
        <v>13</v>
      </c>
      <c r="F45" s="6" t="s">
        <v>22</v>
      </c>
    </row>
    <row r="47" spans="1:6" x14ac:dyDescent="0.3">
      <c r="A47" t="s">
        <v>23</v>
      </c>
      <c r="B47" t="s">
        <v>3</v>
      </c>
      <c r="C47" s="3">
        <f>C$6*C44*C$12/C$7</f>
        <v>92638.499982741298</v>
      </c>
      <c r="D47" s="3">
        <f>D$6*D45*D$12/D$7</f>
        <v>191810.92315267111</v>
      </c>
    </row>
    <row r="49" spans="1:6" x14ac:dyDescent="0.3">
      <c r="A49" t="s">
        <v>23</v>
      </c>
      <c r="B49" s="17" t="s">
        <v>12</v>
      </c>
      <c r="C49" s="18">
        <f>(1/(-1.8*LOG10((C$19/3.7)^1.11+6.9/C47)))^2</f>
        <v>2.2367121325674123E-2</v>
      </c>
      <c r="D49" s="18">
        <f>(1/(-1.8*LOG10((D$19/3.7)^1.11+6.9/D47)))^2</f>
        <v>3.4513798197074327E-2</v>
      </c>
      <c r="E49" s="17"/>
      <c r="F49" s="17" t="s">
        <v>35</v>
      </c>
    </row>
    <row r="50" spans="1:6" ht="15" thickBot="1" x14ac:dyDescent="0.35">
      <c r="F50" s="19" t="s">
        <v>36</v>
      </c>
    </row>
    <row r="51" spans="1:6" ht="15" thickBot="1" x14ac:dyDescent="0.35">
      <c r="A51" s="26" t="s">
        <v>23</v>
      </c>
      <c r="B51" s="27" t="s">
        <v>11</v>
      </c>
      <c r="C51" s="28">
        <f>C44*C14</f>
        <v>1.9551175536101028E-3</v>
      </c>
      <c r="D51" s="28">
        <f>D45*D14</f>
        <v>1.9551175536101028E-3</v>
      </c>
      <c r="E51" s="29" t="s">
        <v>37</v>
      </c>
    </row>
  </sheetData>
  <pageMargins left="0.7" right="0.7" top="0.75" bottom="0.75" header="0.3" footer="0.3"/>
  <pageSetup scale="52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Latulippe</dc:creator>
  <cp:lastModifiedBy>Dave Latulippe</cp:lastModifiedBy>
  <cp:lastPrinted>2019-03-16T11:36:18Z</cp:lastPrinted>
  <dcterms:created xsi:type="dcterms:W3CDTF">2012-11-01T03:42:25Z</dcterms:created>
  <dcterms:modified xsi:type="dcterms:W3CDTF">2026-03-16T19:54:30Z</dcterms:modified>
</cp:coreProperties>
</file>